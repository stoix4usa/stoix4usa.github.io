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SatAM" sheetId="2" state="visible" r:id="rId4"/>
    <sheet name="SatPM" sheetId="3" state="visible" r:id="rId5"/>
    <sheet name="SunAM" sheetId="4" state="visible" r:id="rId6"/>
    <sheet name="SunPM" sheetId="5" state="visible" r:id="rId7"/>
    <sheet name="Marker Coverage" sheetId="6" state="visible" r:id="rId8"/>
  </sheets>
  <definedNames>
    <definedName function="false" hidden="true" localSheetId="1" name="_xlnm._FilterDatabase" vbProcedure="false">SatAM!$A$1:$AH$10</definedName>
    <definedName function="false" hidden="true" localSheetId="2" name="_xlnm._FilterDatabase" vbProcedure="false">SatPM!$A$1:$AH$11</definedName>
    <definedName function="false" hidden="true" localSheetId="3" name="_xlnm._FilterDatabase" vbProcedure="false">SunAM!$A$1:$AH$10</definedName>
    <definedName function="false" hidden="true" localSheetId="4" name="_xlnm._FilterDatabase" vbProcedure="false">SunPM!$A$1:$AH$9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<sst xmlns="http://schemas.openxmlformats.org/spreadsheetml/2006/main" count="1097" uniqueCount="610">
  <si>
    <t xml:space="preserve">April 2026 General Conference - Complete Address Matrix (34 addresses)</t>
  </si>
  <si>
    <t xml:space="preserve">Scope</t>
  </si>
  <si>
    <t xml:space="preserve">All four sessions of the 196th Annual General Conference, April 4-5, 2026. Sheets in program order: SatAM, SatPM, SunAM, SunPM.</t>
  </si>
  <si>
    <t xml:space="preserve">Grey rows</t>
  </si>
  <si>
    <t xml:space="preserve">Profiled in an earlier pass (Bednar, Teh, Becerra) or held as a placeholder (Christofferson's 'The Character of Christ', which carries its own companion doc).</t>
  </si>
  <si>
    <t xml:space="preserve">Marker columns</t>
  </si>
  <si>
    <t xml:space="preserve">Twelve Fortress Sequence markers. 'X' means the address supplies usable material, not merely that the theme appears.</t>
  </si>
  <si>
    <t xml:space="preserve">Doctrine vs inference</t>
  </si>
  <si>
    <t xml:space="preserve">Thesis, scriptures, hymns, authorities, footnotes and empirical citations are drawn from the published text. Talk type, marker mapping, RM walls, Nazareth value and deliverable feed are INFERENCE - Nelson's judgment senior.</t>
  </si>
  <si>
    <t xml:space="preserve">Talk types</t>
  </si>
  <si>
    <t xml:space="preserve">Doctrinal exposition | Testimony-narrative | Litany-inventory | Audience-specific | Procedural-liturgical</t>
  </si>
  <si>
    <t xml:space="preserve">RM Walls</t>
  </si>
  <si>
    <t xml:space="preserve">Numbers refer to the twelve walls of the Scaffolding Audit in The Onward and Upward Climb.</t>
  </si>
  <si>
    <t xml:space="preserve">Practice items</t>
  </si>
  <si>
    <t xml:space="preserve">IDs refer to the Safety Checklist: D = daily, W = weekly, M = monthly, Q = quarterly/annual.</t>
  </si>
  <si>
    <t xml:space="preserve">Footnote counsel</t>
  </si>
  <si>
    <t xml:space="preserve">Counsel published only in the notes and never spoken. Thirteen confirmed instances. A body-text-only sweep loses the best material in the corpus.</t>
  </si>
  <si>
    <t xml:space="preserve">Empirical citations</t>
  </si>
  <si>
    <t xml:space="preserve">Academic, sociological or journalistic sources cited to characterize the present. Gilbert, Uchtdorf (Josephus), Renlund (Hawthorne), Stevenson (SITA, NPR), Cook (Quran, BYU Studies), Soares, Oaks.</t>
  </si>
  <si>
    <t xml:space="preserve">Key convergences</t>
  </si>
  <si>
    <t xml:space="preserve">Oaks BYU devotional Feb 10 2026 cited SIX times. 'Casual' named by five speakers. Word-census method used independently by six. Oaks 'Repentance and Change' (2003) quoted twice.</t>
  </si>
  <si>
    <t xml:space="preserve">Source</t>
  </si>
  <si>
    <t xml:space="preserve">All content drawn from the published addresses at churchofjesuschrist.org.</t>
  </si>
  <si>
    <t xml:space="preserve">Built</t>
  </si>
  <si>
    <t xml:space="preserve">August 13, 2026, with Nelson Harris.</t>
  </si>
  <si>
    <t xml:space="preserve">Ord</t>
  </si>
  <si>
    <t xml:space="preserve">Speaker</t>
  </si>
  <si>
    <t xml:space="preserve">Office</t>
  </si>
  <si>
    <t xml:space="preserve">Title</t>
  </si>
  <si>
    <t xml:space="preserve">Run</t>
  </si>
  <si>
    <t xml:space="preserve">Talk Type</t>
  </si>
  <si>
    <t xml:space="preserve">Thesis (one line)</t>
  </si>
  <si>
    <t xml:space="preserve">Lived Experience</t>
  </si>
  <si>
    <t xml:space="preserve">Method / Technique</t>
  </si>
  <si>
    <t xml:space="preserve">Key Scriptures</t>
  </si>
  <si>
    <t xml:space="preserve">Hymns &amp; Poems</t>
  </si>
  <si>
    <t xml:space="preserve">Authorities Cited</t>
  </si>
  <si>
    <t xml:space="preserve">Citation Posture</t>
  </si>
  <si>
    <t xml:space="preserve">Footnote Counsel</t>
  </si>
  <si>
    <t xml:space="preserve">Empirical Citations</t>
  </si>
  <si>
    <t xml:space="preserve">Primary Marker</t>
  </si>
  <si>
    <t xml:space="preserve">1 Vig</t>
  </si>
  <si>
    <t xml:space="preserve">2 Mem</t>
  </si>
  <si>
    <t xml:space="preserve">3 Dev</t>
  </si>
  <si>
    <t xml:space="preserve">4 Equ</t>
  </si>
  <si>
    <t xml:space="preserve">5 Tru</t>
  </si>
  <si>
    <t xml:space="preserve">6 Wat</t>
  </si>
  <si>
    <t xml:space="preserve">7 Coh</t>
  </si>
  <si>
    <t xml:space="preserve">8 Int</t>
  </si>
  <si>
    <t xml:space="preserve">9 Lea</t>
  </si>
  <si>
    <t xml:space="preserve">10 For</t>
  </si>
  <si>
    <t xml:space="preserve">11 Frc</t>
  </si>
  <si>
    <t xml:space="preserve">12 Han</t>
  </si>
  <si>
    <t xml:space="preserve">Anchors</t>
  </si>
  <si>
    <t xml:space="preserve">Nazareth Value</t>
  </si>
  <si>
    <t xml:space="preserve">Practice Items</t>
  </si>
  <si>
    <t xml:space="preserve">Deliverable Feed</t>
  </si>
  <si>
    <t xml:space="preserve">Notes</t>
  </si>
  <si>
    <t xml:space="preserve">Dallin H. Oaks</t>
  </si>
  <si>
    <t xml:space="preserve">President of the Church</t>
  </si>
  <si>
    <t xml:space="preserve">Introduction</t>
  </si>
  <si>
    <t xml:space="preserve">2:40</t>
  </si>
  <si>
    <t xml:space="preserve">Procedural / liturgical</t>
  </si>
  <si>
    <t xml:space="preserve">This conference opens with a solemn assembly, held only at the first conference after a new President is called.</t>
  </si>
  <si>
    <t xml:space="preserve">None.</t>
  </si>
  <si>
    <t xml:space="preserve">None cited.</t>
  </si>
  <si>
    <t xml:space="preserve">None</t>
  </si>
  <si>
    <t xml:space="preserve">12 Handoff</t>
  </si>
  <si>
    <t xml:space="preserve">X</t>
  </si>
  <si>
    <t xml:space="preserve">Transmissible Word</t>
  </si>
  <si>
    <t xml:space="preserve">n/a</t>
  </si>
  <si>
    <t xml:space="preserve">9</t>
  </si>
  <si>
    <t xml:space="preserve">—</t>
  </si>
  <si>
    <t xml:space="preserve">Fortress: succession record</t>
  </si>
  <si>
    <t xml:space="preserve">The anti-Joash statement at institutional scale: on the morning a new President is sustained, the first assertion is that Christ is the head of the Church. Structure declared not to rest on the man.</t>
  </si>
  <si>
    <t xml:space="preserve">D. Todd Christofferson</t>
  </si>
  <si>
    <t xml:space="preserve">2nd Counselor, First Presidency</t>
  </si>
  <si>
    <t xml:space="preserve">Solemn Assembly</t>
  </si>
  <si>
    <t xml:space="preserve">9:39</t>
  </si>
  <si>
    <t xml:space="preserve">The full text of the sustaining, conducted group by group.</t>
  </si>
  <si>
    <t xml:space="preserve">None (the act is the content).</t>
  </si>
  <si>
    <t xml:space="preserve">Durable Promise</t>
  </si>
  <si>
    <t xml:space="preserve">Fortress: Handoff marker / OT monarchy contrast</t>
  </si>
  <si>
    <t xml:space="preserve">Dissent given a channel (contact your stake president). Young women 11-18 and Aaronic Priesthood vote as their own bodies before the whole Church votes together. Best contrast artifact vs. Judah's succession.</t>
  </si>
  <si>
    <t xml:space="preserve">Patrick Kearon</t>
  </si>
  <si>
    <t xml:space="preserve">Quorum of the Twelve</t>
  </si>
  <si>
    <t xml:space="preserve">About His Business</t>
  </si>
  <si>
    <t xml:space="preserve">11:21</t>
  </si>
  <si>
    <t xml:space="preserve">Testimony-narrative</t>
  </si>
  <si>
    <t xml:space="preserve">A calling is not vacancy-filling; it is joining Christ's redeeming work, and it is tailor-made for the growth of the one called.</t>
  </si>
  <si>
    <t xml:space="preserve">Baptized mid-20s in London; welcomed by raised hands; bishop with the ruler extends assistant ward clerk; 'that is NOT me'; the ward clerk who sat beside him for hours; bishop's calibrated stretch.</t>
  </si>
  <si>
    <t xml:space="preserve">The retrospective calling audit - list your callings in order and ask what each was for.</t>
  </si>
  <si>
    <t xml:space="preserve">Luke 2:49; Matt 4:18-22; John 21:1-17; Mosiah 2:17,22-24; D&amp;C 28:13; 38:27; 121:34-37; Eph 2:19-22; Philip 2:1-4; Rom 12:4-5; Prov 3:4-5; Isa 55:8-11</t>
  </si>
  <si>
    <t xml:space="preserve">Hinckley 1995; Holland 2013; Eyring 2002; Uchtdorf 2008; General Handbook 30.0</t>
  </si>
  <si>
    <t xml:space="preserve">Apostles + Handbook</t>
  </si>
  <si>
    <t xml:space="preserve">n.7 Holland on finite vessels; n.8 &amp; n.15 Handbook 30.0 (no aspiring, no advancing); n.15 Eyring 'Rise to Your Call'.</t>
  </si>
  <si>
    <t xml:space="preserve">9 Leadership</t>
  </si>
  <si>
    <t xml:space="preserve">Convert case; the inviter is the congregation itself (raised hands as welcome).</t>
  </si>
  <si>
    <t xml:space="preserve">9, 6, 4, 7</t>
  </si>
  <si>
    <t xml:space="preserve">W9, W10, M9</t>
  </si>
  <si>
    <t xml:space="preserve">RM Climb Wall 9; Shepherd's Companion</t>
  </si>
  <si>
    <t xml:space="preserve">Candid on common consent: we may not always agree with those we sustain, 'and we might be right.' 'It isn't where we serve but how.' In the Lord's economy we always come out ahead - the answer to the RM time objection.</t>
  </si>
  <si>
    <t xml:space="preserve">Kristin M. Yee</t>
  </si>
  <si>
    <t xml:space="preserve">2nd Counselor, Relief Society GP</t>
  </si>
  <si>
    <t xml:space="preserve">Ministering - 'That Ye Love One Another'</t>
  </si>
  <si>
    <t xml:space="preserve">8:56</t>
  </si>
  <si>
    <t xml:space="preserve">Ministering is not a program or calling but a covenant-borne way of being; we are not called to it and not released from it.</t>
  </si>
  <si>
    <t xml:space="preserve">Her father at a low point; two ministering brothers drove him weekly to the temple in the next city FOR THREE YEARS; he became a temple worker; they are still his closest friends. The nervous young sister: 'I go.'</t>
  </si>
  <si>
    <t xml:space="preserve">None explicit; the modelled method is non-judgmental accompaniment over years.</t>
  </si>
  <si>
    <t xml:space="preserve">John 13:34; Rom 5:8; Matt 16:25; 25:35-40; Mosiah 18:8-11; 5:5-12; Moses 1:39; 3 Ne 27:21,27; 1 Ne 17:3; Isa 41:10; Alma 18:32; 2 Ne 32:5; Jacob 5:71</t>
  </si>
  <si>
    <t xml:space="preserve">'Praise to the Man' (29), via Oaks</t>
  </si>
  <si>
    <t xml:space="preserve">Uchtdorf 2010; Nelson 2018 x2, 2022 x2; Holland 2018; Cook 2024; Oaks 2012, 2014; Bednar 2014; Talmage</t>
  </si>
  <si>
    <t xml:space="preserve">Heavy - apostles + Handbook</t>
  </si>
  <si>
    <t xml:space="preserve">MAJOR. n.7 lists the five endowment covenants in full (obedience, sacrifice, gospel, chastity, consecration) with Talmage. n.14 'when you bless the one, you bless the whole.' n.29 Oaks on women and priesthood authority.</t>
  </si>
  <si>
    <t xml:space="preserve">7 Cohesion</t>
  </si>
  <si>
    <t xml:space="preserve">BEST TEMPO CASE IN CORPUS: weekly, next city, three years, before any visible turn. Cost fully specified.</t>
  </si>
  <si>
    <t xml:space="preserve">7, 9, 12</t>
  </si>
  <si>
    <t xml:space="preserve">W11, Q8, Q9</t>
  </si>
  <si>
    <t xml:space="preserve">RM Climb Wall 7; Shepherd's Sweep</t>
  </si>
  <si>
    <t xml:space="preserve">He atoned without assurance we would love Him in return (Rom 5:8). 'I find the Savior when I minister' - Wall 7 as self-interested, not only altruistic. Health improved DOWNSTREAM of spiritual change.</t>
  </si>
  <si>
    <t xml:space="preserve">Clark G. Gilbert</t>
  </si>
  <si>
    <t xml:space="preserve">Come Home</t>
  </si>
  <si>
    <t xml:space="preserve">13:08</t>
  </si>
  <si>
    <t xml:space="preserve">Christ is Redeemer and Repairer; four named barriers keep people from coming home, and each has a documented breach repaired.</t>
  </si>
  <si>
    <t xml:space="preserve">FIVE: his own struggle for more children (Teichert painting); Tammy Anglesey (30 yrs away, wept in the parking lot, bishop's note); Luis Vargas ('don't measure up'); Justin &amp; Kenna Valdez (doubt; the 8-yr-old son); John Raass (trapped in parents' traditions).</t>
  </si>
  <si>
    <t xml:space="preserve">Anchor on the primary questions - name what you DO believe and build from there; do not make resolving every question the entry condition.</t>
  </si>
  <si>
    <t xml:space="preserve">Isa 58:12; Luke 1:68; 2 Ne 2:6-7; Hel 5:12; D&amp;C 107:23 (scripture-light by design)</t>
  </si>
  <si>
    <t xml:space="preserve">'Softly and Tenderly Jesus Is Calling'; Shakespeare, Julius Caesar IV.iii.249-52</t>
  </si>
  <si>
    <t xml:space="preserve">Oaks 1984, 2022, BYU Feb 2026; Nelson 2016, 2022 x3; Corbridge 2019; Runia 2023; Holland 2021; Wood 2003</t>
  </si>
  <si>
    <t xml:space="preserve">Oaks-dominant (9x)</t>
  </si>
  <si>
    <t xml:space="preserve">n.16 Runia: don't chase, stay at the tree and beckon. n.9 Corbridge primary vs secondary questions. n.18 hastening alongside struggle.</t>
  </si>
  <si>
    <t xml:space="preserve">MAJOR AND UNIQUE. n.8 Dyer/Deseret News Dec 2025 on LDS retention + most who leave remain open to returning; n.11 Harvard GSE on youth lacking purpose + Burge/Pew on continued meaning-seeking.</t>
  </si>
  <si>
    <t xml:space="preserve">3 Devotion / Return</t>
  </si>
  <si>
    <t xml:space="preserve">Fixed Center; Durable Promise</t>
  </si>
  <si>
    <t xml:space="preserve">FOUR case cards with barrier type + tempo (30 yrs / 1 mo / 6 mo / 2 mo). The Valdez case transmits UPWARD from an 8-year-old.</t>
  </si>
  <si>
    <t xml:space="preserve">3, 5, 6, 7, 12</t>
  </si>
  <si>
    <t xml:space="preserve">M10, M11</t>
  </si>
  <si>
    <t xml:space="preserve">Shepherd's Sweep (primary); Two Worlds; RM wanderer half</t>
  </si>
  <si>
    <t xml:space="preserve">HIGHEST-PRIORITY ADDRESS FOR THE WANDERER COHORT. John Raass held BY inherited tradition vs Teh's parents WEEDING it - same marker, opposite vantage, same session. 'Helping others requires you to stay in your covenants.'</t>
  </si>
  <si>
    <t xml:space="preserve">David A. Bednar</t>
  </si>
  <si>
    <t xml:space="preserve">All Who Have Endured Valiantly</t>
  </si>
  <si>
    <t xml:space="preserve">12:59</t>
  </si>
  <si>
    <t xml:space="preserve">Doctrinal exposition</t>
  </si>
  <si>
    <t xml:space="preserve">'Endure to the end' means becoming possessed of the pure love of Christ - transformation, not grit.</t>
  </si>
  <si>
    <t xml:space="preserve">Thin by design: one item, a lifelong love-hate relationship with running.</t>
  </si>
  <si>
    <t xml:space="preserve">Phrase substitution (insert 'is possessed of the pure love of Christ'); word-threading on 'endure'; preposition-level reading of 'of'; structural halving of the 13th Article of Faith.</t>
  </si>
  <si>
    <t xml:space="preserve">Mosiah 3:19; Alma 5:12-14; 2 Cor 5:17; Moroni 7:45-48; D&amp;C 93:11-23; D&amp;C 121:29; A of F 1:13; Matt 10:22; 2 Ne 31:15; Alma 32:13</t>
  </si>
  <si>
    <t xml:space="preserve">'How Great the Wisdom and the Love' (195)</t>
  </si>
  <si>
    <t xml:space="preserve">NONE (one Gospel Topics entry only)</t>
  </si>
  <si>
    <t xml:space="preserve">Scripture only</t>
  </si>
  <si>
    <t xml:space="preserve">None of note.</t>
  </si>
  <si>
    <t xml:space="preserve">1 Vigilance</t>
  </si>
  <si>
    <t xml:space="preserve">1, 5, 11</t>
  </si>
  <si>
    <t xml:space="preserve">D2, D3, D5, M3, Q2</t>
  </si>
  <si>
    <t xml:space="preserve">Story of You (3 of 5 wanted scriptures); Convergence Thesis</t>
  </si>
  <si>
    <t xml:space="preserve">PROFILED IN PROTOTYPE PASS. Supplies 3 of the 5 scriptures wanted for the Headwater. Spiritual gifts 'not results we earn solely through focused effort' = asymmetric-model evidence.</t>
  </si>
  <si>
    <t xml:space="preserve">Michael John U. Teh</t>
  </si>
  <si>
    <t xml:space="preserve">Of the Seventy</t>
  </si>
  <si>
    <t xml:space="preserve">Follow the Prophet; He Knows the Way</t>
  </si>
  <si>
    <t xml:space="preserve">8:09</t>
  </si>
  <si>
    <t xml:space="preserve">Following prophets, seers, and revelators IS following Jesus Christ - not a parallel track.</t>
  </si>
  <si>
    <t xml:space="preserve">Parents' conversion in the Philippines and the decades-long weeding of contrary traditions under family pressure; the Japan cancer visit; the Hong Kong reflected sunlight.</t>
  </si>
  <si>
    <t xml:space="preserve">Notice, confess confusion, investigate, then interpret (the Hong Kong four-beat).</t>
  </si>
  <si>
    <t xml:space="preserve">Luke 18:22; Matt 6:20; Ezek 33:2-7; Mosiah 8:17</t>
  </si>
  <si>
    <t xml:space="preserve">'Follow the Prophet', Children's Songbook 111</t>
  </si>
  <si>
    <t xml:space="preserve">Oaks 1987, 2003, 2015, 2024 - ALL FOUR</t>
  </si>
  <si>
    <t xml:space="preserve">Oaks only (4 of 4)</t>
  </si>
  <si>
    <t xml:space="preserve">3 Devotion</t>
  </si>
  <si>
    <t xml:space="preserve">Tier-2 household case; rejection pressure from surrounding kin; decades-long tempo; micro work admitted unfinished.</t>
  </si>
  <si>
    <t xml:space="preserve">2, 3, 6, 9, 12</t>
  </si>
  <si>
    <t xml:space="preserve">D4, W3, M4, Q4</t>
  </si>
  <si>
    <t xml:space="preserve">Story of You; Nazareth Effect; RM Wall 3</t>
  </si>
  <si>
    <t xml:space="preserve">PROFILED IN PROTOTYPE PASS. Four-for-four Oaks citation on the morning of the solemn assembly = structural sustaining act.</t>
  </si>
  <si>
    <t xml:space="preserve">Jorge T. Becerra</t>
  </si>
  <si>
    <t xml:space="preserve">Tithing - Putting God First</t>
  </si>
  <si>
    <t xml:space="preserve">8:31</t>
  </si>
  <si>
    <t xml:space="preserve">Alma's 'awful dilemma' is double-mindedness (James 1:8); tithing is the mechanism by which 'first' gets assigned.</t>
  </si>
  <si>
    <t xml:space="preserve">Elder Cutler's single question; selling the car with no haggling at a precise figure; the friend's car and the twins; his mother's home-evening testimony (immigrant family, financial setbacks).</t>
  </si>
  <si>
    <t xml:space="preserve">Footnote-following (the whole talk comes out of the footnote at Alma 7:18); the single unanswered question held for days.</t>
  </si>
  <si>
    <t xml:space="preserve">Alma 5:12; Alma 7:3,18; James 1:8; Matt 6:33; Moses 5:5-9; Mal 3:10</t>
  </si>
  <si>
    <t xml:space="preserve">Hinckley 2001; Bednar 2013</t>
  </si>
  <si>
    <t xml:space="preserve">Prophets + apostle</t>
  </si>
  <si>
    <t xml:space="preserve">Handoff observed from the RECEIVING end - he names the transmission event decades later.</t>
  </si>
  <si>
    <t xml:space="preserve">2, 3, 8, 10, 12</t>
  </si>
  <si>
    <t xml:space="preserve">D6, M1, M2, Q3</t>
  </si>
  <si>
    <t xml:space="preserve">Fortress Marker 3 (clinical definition); Art of Asking Questions</t>
  </si>
  <si>
    <t xml:space="preserve">PROFILED IN PROTOTYPE PASS. Best clinical definition of Marker 3 in the corpus: wavering, indecisive, conflicted, lacking commitment to a single purpose. Wisdom Pyramid sequence intact (Adam obeyed before understanding).</t>
  </si>
  <si>
    <t xml:space="preserve">Henry B. Eyring</t>
  </si>
  <si>
    <t xml:space="preserve">1st Counselor, First Presidency</t>
  </si>
  <si>
    <t xml:space="preserve">Prayers for Peace</t>
  </si>
  <si>
    <t xml:space="preserve">13:13</t>
  </si>
  <si>
    <t xml:space="preserve">Peace comes through continual prayer - and strength comes from prayer sustained BEFORE the crisis, not summoned during it.</t>
  </si>
  <si>
    <t xml:space="preserve">One, and the most personal in the conference: at the funeral of his wife of 61 years he felt peace and almost joy; the mourners must have wondered why he was smiling.</t>
  </si>
  <si>
    <t xml:space="preserve">Frame-and-return (opens and closes on John 14:27); the unspoken prayer as a form.</t>
  </si>
  <si>
    <t xml:space="preserve">John 14:27 (x2); Ps 9:9-10; Luke 11:9-10; Alma 34:26-27; Matt 6:6-8; Mosiah 24:12-15; D&amp;C 19:38; ALMA 17:3; Alma 7:27</t>
  </si>
  <si>
    <t xml:space="preserve">'Sweet Hour of Prayer' (142), n.9</t>
  </si>
  <si>
    <t xml:space="preserve">NONE</t>
  </si>
  <si>
    <t xml:space="preserve">n.9 supplies the hymn, unspoken.</t>
  </si>
  <si>
    <t xml:space="preserve">None (but note the watchman's report on present-day prayer volume).</t>
  </si>
  <si>
    <t xml:space="preserve">10 Fortification</t>
  </si>
  <si>
    <t xml:space="preserve">1, 10, 11</t>
  </si>
  <si>
    <t xml:space="preserve">D11, D12, D13</t>
  </si>
  <si>
    <t xml:space="preserve">RM Climb Wall 10 (first doctrinal warrant); Fortress present-tense diagnostic</t>
  </si>
  <si>
    <t xml:space="preserve">WALL 10'S FIRST REAL ARGUMENT. Sons of Mosiah: strength came from CONTINUED prayer, not crisis prayer. Also a First Presidency read on the present: prayers more numerous AND more heartfelt worldwide.</t>
  </si>
  <si>
    <t xml:space="preserve">Sustaining of General Authorities</t>
  </si>
  <si>
    <t xml:space="preserve">-</t>
  </si>
  <si>
    <t xml:space="preserve">Sustaining of officers: seven GA Seventies to emeritus Aug 1; eight new GA Seventies; new Primary general presidency.</t>
  </si>
  <si>
    <t xml:space="preserve">Rosemary K. Chibota sustained as Primary General President with Theresa A. Collins as second counselor, succeeding Susan H. Porter - who had spoken the previous day. Marker 12 performed twice in 24 hours.</t>
  </si>
  <si>
    <t xml:space="preserve">Jared B. Larson</t>
  </si>
  <si>
    <t xml:space="preserve">Managing Director, Church Auditing Dept.</t>
  </si>
  <si>
    <t xml:space="preserve">Church Auditing Department Report, 2025</t>
  </si>
  <si>
    <t xml:space="preserve">Procedural / administrative</t>
  </si>
  <si>
    <t xml:space="preserve">Annual attestation that contributions are received and expended according to approved policy.</t>
  </si>
  <si>
    <t xml:space="preserve">8 Integrity</t>
  </si>
  <si>
    <t xml:space="preserve">8</t>
  </si>
  <si>
    <t xml:space="preserve">Fortress: Marker 8 institutionalized</t>
  </si>
  <si>
    <t xml:space="preserve">Marker 8 with a mechanism attached and reported publicly. Small in itself; structurally it is what a sound institution does that a failing one does not.</t>
  </si>
  <si>
    <t xml:space="preserve">Gary E. Stevenson</t>
  </si>
  <si>
    <t xml:space="preserve">Lost Luggage, Redeemed Souls</t>
  </si>
  <si>
    <t xml:space="preserve">11:16</t>
  </si>
  <si>
    <t xml:space="preserve">Heavenly Father entrusts His most precious cargo to stewards; ministering and nurturing the rising generation are the handling.</t>
  </si>
  <si>
    <t xml:space="preserve">One: his own carry-on taken at the gate with essential material inside, and the anxious flight clutching the claim ticket. Plus the parent at the curb bidding farewell to a student, soldier, or missionary.</t>
  </si>
  <si>
    <t xml:space="preserve">KAIZEN - the quiet discipline of constantly seeking small improvements, generated by those doing the everyday work. Plus the Kansai case: 30 years, hundreds of millions of bags, zero lost.</t>
  </si>
  <si>
    <t xml:space="preserve">Alma 40:11; Moroni 6:4; D&amp;C 20:53; 93:40; 115:6; 2 Ne 25:26; Matt 16:24; D&amp;C 76:43</t>
  </si>
  <si>
    <t xml:space="preserve">Uchtdorf 2023 (n.10 in full) &amp; 2022; Nelson 2018; Oaks 2020; First Presidency letter 2018</t>
  </si>
  <si>
    <t xml:space="preserve">n.10 Uchtdorf's full passage: rich soil, heavenly water, remove weeds and anything blocking sunlight, then let God work His miracle.</t>
  </si>
  <si>
    <t xml:space="preserve">n.1 SITA - 33 million bags mishandled in 2024. n.2 NPR (May 2024) on Kansai Airport.</t>
  </si>
  <si>
    <t xml:space="preserve">W14</t>
  </si>
  <si>
    <t xml:space="preserve">RM Climb (kaizen); Shepherd's Sweep</t>
  </si>
  <si>
    <t xml:space="preserve">Best INSTITUTIONAL statement of Marker 12: transmission as a system with a measurable failure rate that can be driven to zero when handlers believe the cargo is precious. Bounded on purpose - 'unlike luggage, each of us is ultimately responsible.'</t>
  </si>
  <si>
    <t xml:space="preserve">Eduardo F. Ortega</t>
  </si>
  <si>
    <t xml:space="preserve">Christ - Author and Finisher of Our Faith</t>
  </si>
  <si>
    <t xml:space="preserve">8:29</t>
  </si>
  <si>
    <t xml:space="preserve">Faith is not inherited; true discipleship always begins with a personal decision.</t>
  </si>
  <si>
    <t xml:space="preserve">Two generations: his grandmother Mercedes joined the Church in Mendoza, Argentina in Aug 1957 when his father was six - her circumstances 'not perfect or ideal.' And his own: raised in an active home, but 'that was not enough - I needed to know for myself,' which came as a young missionary in Colombia.</t>
  </si>
  <si>
    <t xml:space="preserve">Experiment upon the word (Alma 32:27). The mountain image - the shortest path up is not the safest.</t>
  </si>
  <si>
    <t xml:space="preserve">Helaman 5:12; Matt 16:17; Alma 32:27; MORONI 6:4; 2 Ne 31:19-20; Moroni 10:32; Mosiah 5:2</t>
  </si>
  <si>
    <t xml:space="preserve">Oaks BYU Feb 2026 (FIFTH citation); Rasband 2025; Preach My Gospel</t>
  </si>
  <si>
    <t xml:space="preserve">Oaks + apostle</t>
  </si>
  <si>
    <t xml:space="preserve">Addressed directly to recent converts: 'you may become to your families and descendants what she was to us.'</t>
  </si>
  <si>
    <t xml:space="preserve">1, 2, 12</t>
  </si>
  <si>
    <t xml:space="preserve">M16</t>
  </si>
  <si>
    <t xml:space="preserve">RM CLIMB - the Joash diagnosis stated plainly</t>
  </si>
  <si>
    <t xml:space="preserve">'Our family heritage is a great blessing, but it is not a substitute.' The Scaffolding Audit's central claim, preached. Also: the invitation is the same whether the gospel has been in your family for generations or you were baptized last week.</t>
  </si>
  <si>
    <t xml:space="preserve">Wan-Liang Wu</t>
  </si>
  <si>
    <t xml:space="preserve">'I Will Give Away All My Sins to Know Thee'</t>
  </si>
  <si>
    <t xml:space="preserve">8:25</t>
  </si>
  <si>
    <t xml:space="preserve">The old king of Alma 22 asked the deciding question: what am I willing to give up to know God?</t>
  </si>
  <si>
    <t xml:space="preserve">Born into a non-Christian family in Taiwan; as a boy accompanied his mother to Chinese temples, petitioning the god of riches for work and the god of healing for health, and loving the cakes afterward. At ten the family moved to Bolivia; he met the missionaries, felt peace though he couldn't understand the Spanish, and told his sisters he'd already decided.</t>
  </si>
  <si>
    <t xml:space="preserve">The conditional seeker's prayer: 'if there is a God, and if thou art God, make thyself known unto me' (Alma 22:18).</t>
  </si>
  <si>
    <t xml:space="preserve">Alma 22:12-18; John 17:3; 14:6; D&amp;C 58:28; Luke 18:22; 2 Ne 25:20</t>
  </si>
  <si>
    <t xml:space="preserve">OAKS 'Repentance and Change' (2003) - SECOND citation this conference; Preach My Gospel</t>
  </si>
  <si>
    <t xml:space="preserve">Oaks only</t>
  </si>
  <si>
    <t xml:space="preserve">The invitee decided BEFORE the invitation was extended - the inviter's timing was not the operative variable.</t>
  </si>
  <si>
    <t xml:space="preserve">3, 5</t>
  </si>
  <si>
    <t xml:space="preserve">M17</t>
  </si>
  <si>
    <t xml:space="preserve">Fortress Marker 3 (syncretism, purest form); Story of You</t>
  </si>
  <si>
    <t xml:space="preserve">The god of riches and the god of healing IS the blend, literally. Same Oaks 2003 passage Teh quoted - both speakers converts or children of converts from non-Christian traditions. The king's household and several cities followed one decision.</t>
  </si>
  <si>
    <t xml:space="preserve">David J. Wunderli</t>
  </si>
  <si>
    <t xml:space="preserve">1st Counselor, Young Men General Presidency</t>
  </si>
  <si>
    <t xml:space="preserve">Jesus Christ Is Not Our Burden; He Is Our Relief</t>
  </si>
  <si>
    <t xml:space="preserve">9:17</t>
  </si>
  <si>
    <t xml:space="preserve">When the pack gets heavy, the one thing you must not remove is the Savior.</t>
  </si>
  <si>
    <t xml:space="preserve">The conference's best teaching image: his six-year-old son packed only a picture of Christ for a family hike, then filled the pack with rocks and placed the picture back on top. One step forward, five steps backward, then the fall. When his father suggested removing the picture to lighten the load, the boy's face said 'Dad, you're not as smart as I thought you were.' Plus 16-year-old Joshua in West Africa answering 'Relief.'</t>
  </si>
  <si>
    <t xml:space="preserve">The four-part daily keeping practice: kneel and pray with real intent; study daily, especially the Book of Mormon; daily repentance; live covenants daily and renew weekly.</t>
  </si>
  <si>
    <t xml:space="preserve">Moses 6:34 (x3); John 16:33; Alma 7:11-12; 34:26; 37:6,37; Moroni 7:41; Ether 12:27; Mosiah 24:13-15; 26:30; Matt 11:28-30; D&amp;C 20:77</t>
  </si>
  <si>
    <t xml:space="preserve">Nelson 2017 &amp; 2019; Kearon 2025; Oaks 1996 &amp; 2025; Richard G. Scott 2007</t>
  </si>
  <si>
    <t xml:space="preserve">Apostles</t>
  </si>
  <si>
    <t xml:space="preserve">MAJOR. n.14 names ADDICTION and quotes Nelson on immunization against pornography and mind-numbing addictions. n.8 Nelson on daily repentance as process not event. n.16 Kearon - 'He hasn't set a limit on your second chances... your second or third or fourth - or hundredth.'</t>
  </si>
  <si>
    <t xml:space="preserve">D17, D18, M15</t>
  </si>
  <si>
    <t xml:space="preserve">Addiction-recovery companion (core image); RM Wall 10</t>
  </si>
  <si>
    <t xml:space="preserve">Rocks collect 'some by choice and some by the very nature of your journey' - removes shame from half the load without excusing the other half. Tightest version of the Climb's Part 4 in the corpus, from the office closest to Ben's cohort.</t>
  </si>
  <si>
    <t xml:space="preserve">Gerald Causse</t>
  </si>
  <si>
    <t xml:space="preserve">Love All; Love Each</t>
  </si>
  <si>
    <t xml:space="preserve">11:27</t>
  </si>
  <si>
    <t xml:space="preserve">God's love operates on two scales at once - universal in reach, personal in application - and disciples must do both.</t>
  </si>
  <si>
    <t xml:space="preserve">Two: the dark countryside night where his eyes adjusted and the sky filled with stars; and the journalist's question after his ordination, answered instantly - 'I have learned that I can love even more.'</t>
  </si>
  <si>
    <t xml:space="preserve">THE WORD-PAIR CENSUS - dozens of verses where 'all' and 'each' (or 'every') appear together; n.9 lists eighteen. Fifth census instance, first on a pair.</t>
  </si>
  <si>
    <t xml:space="preserve">Ps 8:3-5; Matt 10:29-31; 5:46-47; 18:1-5; Mosiah 27:30; Moroni 6:4; Luke 15:4-7; 17:12-19; John 4:5-29; 3 Ne 17:21-24</t>
  </si>
  <si>
    <t xml:space="preserve">'His Eye Is on the Sparrow' (1905 origin recounted); Beauty and the Beast</t>
  </si>
  <si>
    <t xml:space="preserve">Neal A. Maxwell 2002 ('God is in the details'); Joseph Smith; Nelson 2002</t>
  </si>
  <si>
    <t xml:space="preserve">Predecessors + Nelson</t>
  </si>
  <si>
    <t xml:space="preserve">n.9 the eighteen-reference all/each list. n.16 extending love beyond congregations.</t>
  </si>
  <si>
    <t xml:space="preserve">None (but Beauty and the Beast is a popular-culture citation).</t>
  </si>
  <si>
    <t xml:space="preserve">'To love all and to love each are not two different kinds of love but the same divine love expressed on two scales.'</t>
  </si>
  <si>
    <t xml:space="preserve">4, 7, 9</t>
  </si>
  <si>
    <t xml:space="preserve">W15</t>
  </si>
  <si>
    <t xml:space="preserve">NAZARETH EFFECT (macro/micro axis, stated as doctrine)</t>
  </si>
  <si>
    <t xml:space="preserve">The framework's own axis articulated by an Apostle. Also the order correction: 'we don't serve only those we already love; we come to love people as we serve them.' Belle and the Beast pairs with Oaks's nurse.</t>
  </si>
  <si>
    <t xml:space="preserve">Brian J. Holmes</t>
  </si>
  <si>
    <t xml:space="preserve">Jesus Christ Is the Way</t>
  </si>
  <si>
    <t xml:space="preserve">8:15</t>
  </si>
  <si>
    <t xml:space="preserve">Christ is not only the guide; He is the path. Bound to Him by covenant and following His prophet, we walk the one way home.</t>
  </si>
  <si>
    <t xml:space="preserve">The Jungfrau-Marathon in the Swiss Alps with his wife Maggie - 6,400 feet of climb, the final stretch steep and narrow, single file. And the runner who finished it BLIND, tethered to a guide who moved ahead as the course steepened, calling out every obstacle.</t>
  </si>
  <si>
    <t xml:space="preserve">None explicit; the tether is the argument.</t>
  </si>
  <si>
    <t xml:space="preserve">John 14:6; 3:5; 6:66-69; Luke 10:16; Eph 2:20; 4:14; D&amp;C 1:16; 82:10; 124:45; 2 Ne 31:17-20; Mosiah 3:13; 1 Ne 8:26-27; 11:34-36</t>
  </si>
  <si>
    <t xml:space="preserve">Oaks 2025, 2021, BYU Feb 2026 (SIXTH citation); Christofferson 2021; Bednar 2023</t>
  </si>
  <si>
    <t xml:space="preserve">Oaks-dominant</t>
  </si>
  <si>
    <t xml:space="preserve">n.19 - the great and spacious building stood high in the air, i.e. IT HAD NO FOUNDATION, and the fall thereof was exceedingly great; its occupants fight against the Apostles of the Lamb.</t>
  </si>
  <si>
    <t xml:space="preserve">6 Watchmen</t>
  </si>
  <si>
    <t xml:space="preserve">1, 6, 8, 9</t>
  </si>
  <si>
    <t xml:space="preserve">FORTRESS + SCAFFOLDING AUDIT (three standing items)</t>
  </si>
  <si>
    <t xml:space="preserve">'COVENANT BLESSINGS FLOW FROM ONGOING FAITHFULNESS, NOT MERELY FROM PAST PARTICIPATION.' Plus the apostasy mechanism in four clauses: perception of Christ becomes whatever we want Him to be; doctrine shifts; commitment erodes; unity dissolves.</t>
  </si>
  <si>
    <t xml:space="preserve">Clement M. Matswagothata</t>
  </si>
  <si>
    <t xml:space="preserve">He Knows You by Name</t>
  </si>
  <si>
    <t xml:space="preserve">9:29</t>
  </si>
  <si>
    <t xml:space="preserve">He knows each of us by name, and the most eternity-shaping name we can receive is His.</t>
  </si>
  <si>
    <t xml:space="preserve">Early as a young stake president: they had just buried his mother; two weeks later he stood at another graveside with his counselor, mourning the counselor's teenage son. Driving to a ward conference he poured out his heart - and a Primary boy stopped him: 'We need to talk. When are you going to stop being a naughty boy? Every morning and every night, my parents ask us to pray for you.'</t>
  </si>
  <si>
    <t xml:space="preserve">The by-name catalogue - Adam in Eden, Mary at the tomb, Saul on the road, Joseph in the Grove. Sixth catalogue instance.</t>
  </si>
  <si>
    <t xml:space="preserve">Ex 33:17; Gen 3:9; John 20:16; 17:3; 8:12; 10:11; Acts 9:4; JS-H 1:17; Alma 7:11-13; D&amp;C 121:1; 88:6; Isa 40:31; 3 Ne 25:2</t>
  </si>
  <si>
    <t xml:space="preserve">'A Child's Prayer', Children's Songbook 12</t>
  </si>
  <si>
    <t xml:space="preserve">Christofferson 2022 - 'rather than get angry with God, get close to God'</t>
  </si>
  <si>
    <t xml:space="preserve">One apostle</t>
  </si>
  <si>
    <t xml:space="preserve">A household practice (praying by name, twice daily) becoming another person's revelation.</t>
  </si>
  <si>
    <t xml:space="preserve">2, 6, 7</t>
  </si>
  <si>
    <t xml:space="preserve">D19, W16</t>
  </si>
  <si>
    <t xml:space="preserve">Shepherd's Companion; Quotable</t>
  </si>
  <si>
    <t xml:space="preserve">'The question should never be Will the Savior walk with me? He will. The real question is Will I walk with Him?' Fourth speaker to name casualness. Echoes Ortega: we honor those who came before, but above all we honor Him.</t>
  </si>
  <si>
    <t xml:space="preserve">Ulisses Soares</t>
  </si>
  <si>
    <t xml:space="preserve">Jesus Christ - the True Vine</t>
  </si>
  <si>
    <t xml:space="preserve">11:40</t>
  </si>
  <si>
    <t xml:space="preserve">'True' vine implies false ones; in a world of many voices, staying connected is essential to spiritual survival.</t>
  </si>
  <si>
    <t xml:space="preserve">One: Elder Jeffrey R. Holland calling him by phone to welcome him to the Quorum of the Twelve, minutes after the invitation - feeling the Savior minister through the voice of an anointed servant.</t>
  </si>
  <si>
    <t xml:space="preserve">Abiding defined operationally as a list of five constant choices, including governing words in digital spaces.</t>
  </si>
  <si>
    <t xml:space="preserve">John 15:1,4,5; Luke 24:28-29; Col 2:8; 2 Ne 28:21; MOSIAH 2:41; 2 Cor 5:17; 1 John 2:5-6; Ex 3:14; Matt 11:28-30; D&amp;C 84:45</t>
  </si>
  <si>
    <t xml:space="preserve">The Living Christ; Oaks, For the Strength of Youth Q&amp;A (Jan 2026)</t>
  </si>
  <si>
    <t xml:space="preserve">Oaks + scripture</t>
  </si>
  <si>
    <t xml:space="preserve">'Popular philosophies spread through various forms of media' - the fullest information-environment diagnosis of the conference.</t>
  </si>
  <si>
    <t xml:space="preserve">3 Devotion / 10 Fortification</t>
  </si>
  <si>
    <t xml:space="preserve">The Emmaus reading: He made as though He would have gone further; without the desire and then the INVITATION, nothing would have changed.</t>
  </si>
  <si>
    <t xml:space="preserve">3, 5, 10</t>
  </si>
  <si>
    <t xml:space="preserve">D20</t>
  </si>
  <si>
    <t xml:space="preserve">RM Wall 10 (media, fully supplied); Cycle of Apostasy</t>
  </si>
  <si>
    <t xml:space="preserve">CLOSES THE MEDIA GAP: tangled vines rooted in popular philosophies that 'quietly introduce doubt and division - first in the mind and then in the heart,' and may 'even appear to be connected to Christ and His gospel.' Counsel is discernment, not prohibition.</t>
  </si>
  <si>
    <t xml:space="preserve">Dieter F. Uchtdorf</t>
  </si>
  <si>
    <t xml:space="preserve">Acting President, Quorum of Twelve</t>
  </si>
  <si>
    <t xml:space="preserve">Encounter at the Empty Tomb</t>
  </si>
  <si>
    <t xml:space="preserve">12:28</t>
  </si>
  <si>
    <t xml:space="preserve">The women came without expecting a miracle; each of us must encounter the empty tomb ourselves, then carry the witness outward.</t>
  </si>
  <si>
    <t xml:space="preserve">Almost none, deliberately: he says twice he has tried to imagine their grief and can't. One line - he has stood at the tomb.</t>
  </si>
  <si>
    <t xml:space="preserve">The present-tense test; come-and-see then go-and-tell (in order); the inventory question - what HAVE you seen, felt, experienced?</t>
  </si>
  <si>
    <t xml:space="preserve">Luke 24:1-6; Matt 28:5-7,19; Mark 16:15; John 1:5; 14:6; 20:29; Rom 8:31,35-39; 3 Ne 5:3; Mosiah 5:2; Moses 1:4</t>
  </si>
  <si>
    <t xml:space="preserve">'Upon the Cross of Calvary' (184); 'I Know That My Redeemer Lives' (136)</t>
  </si>
  <si>
    <t xml:space="preserve">MAJOR. n.13 catalogues the women by Gospel, cites Josephus (Antiquities 4.8.15) on women's testimony being inadmissible, notes the credibility argument, then the equity doctrine: God weighs not income, station, gender, education, reputation.</t>
  </si>
  <si>
    <t xml:space="preserve">n.13 Josephus, classical source. First external classical citation in the sweep.</t>
  </si>
  <si>
    <t xml:space="preserve">5 Truth</t>
  </si>
  <si>
    <t xml:space="preserve">They came without expecting a miracle - devotion without resolution.</t>
  </si>
  <si>
    <t xml:space="preserve">5, 12</t>
  </si>
  <si>
    <t xml:space="preserve">D16</t>
  </si>
  <si>
    <t xml:space="preserve">Two Worlds (unlikely-witnesses argument); RM Wall 5</t>
  </si>
  <si>
    <t xml:space="preserve">Third apostle in the sweep citing no living authority. 'Some hesitate because of unresolved questions' - step forward anyway; the dawn of understanding follows. Pairs with Gilbert's anchor-on-what-you-believe.</t>
  </si>
  <si>
    <t xml:space="preserve">Emily Belle Freeman</t>
  </si>
  <si>
    <t xml:space="preserve">Young Women General President</t>
  </si>
  <si>
    <t xml:space="preserve">Best Days and Worst Days</t>
  </si>
  <si>
    <t xml:space="preserve">8:39</t>
  </si>
  <si>
    <t xml:space="preserve">Mortality is a proving ground; testimony is built day after day across best days and worst, not forged in a moment.</t>
  </si>
  <si>
    <t xml:space="preserve">One, current: planning their daughter's wedding when the oncologist called about her husband Greg's returning cancer. n.1 updates - six rounds of radiation finished before the talk, doctors optimistic.</t>
  </si>
  <si>
    <t xml:space="preserve">The three-lens life reading: take one figure and read them for eternal truths, invitations, and promised blessings. Peter is the worked example.</t>
  </si>
  <si>
    <t xml:space="preserve">Matt 16:13-17,21-23; Matt 14:28-30; Luke 22:32-34,43,48,61; John 21:17; Moses 6:34; D&amp;C 3:9-10</t>
  </si>
  <si>
    <t xml:space="preserve">None. For the Strength of Youth (2025) quoted six times.</t>
  </si>
  <si>
    <t xml:space="preserve">Manual, not persons</t>
  </si>
  <si>
    <t xml:space="preserve">n.10 pairs Peter with Joseph Smith at his worst (D&amp;C 3:9-10, 'thou art still chosen'). n.11 - Peter was a skilled fisherman, never trained as a shepherd.</t>
  </si>
  <si>
    <t xml:space="preserve">1, 9, 11</t>
  </si>
  <si>
    <t xml:space="preserve">Story of You (the narrative reframe); RM Wall 1 &amp; 9</t>
  </si>
  <si>
    <t xml:space="preserve">'He wasn't shouting instructions from the shore or offering advice from the safety of the boat. He was in the water.' Peter's history is true told as three failures AND told as walking on water - both true; the second is the Lord's version.</t>
  </si>
  <si>
    <t xml:space="preserve">Pedro X. Larreal</t>
  </si>
  <si>
    <t xml:space="preserve">I Feel My Savior's Love</t>
  </si>
  <si>
    <t xml:space="preserve">7:54</t>
  </si>
  <si>
    <t xml:space="preserve">The weekly sacrament, deliberately prepared for, is how the Holy Ghost's influence is renewed and the Savior's love is felt.</t>
  </si>
  <si>
    <t xml:space="preserve">None. First conference address.</t>
  </si>
  <si>
    <t xml:space="preserve">The pronoun argument - 'my body which is given for YOU'; the Lord uses the second person deliberately and repeatedly.</t>
  </si>
  <si>
    <t xml:space="preserve">3 Ne 18:11; 3 Ne 9:20; Luke 22:19-20; D&amp;C 20:77</t>
  </si>
  <si>
    <t xml:space="preserve">None in address; 'As Now We Take the Sacrament' (169) linked</t>
  </si>
  <si>
    <t xml:space="preserve">Oaks BYU Feb 2026 (opens the address); Oaks 2008 x2; Nelson 2018</t>
  </si>
  <si>
    <t xml:space="preserve">2, 10</t>
  </si>
  <si>
    <t xml:space="preserve">W12</t>
  </si>
  <si>
    <t xml:space="preserve">RM Wall 10 (device discipline); Feast practice</t>
  </si>
  <si>
    <t xml:space="preserve">CLOSES A STANDING GAP: first explicit media/device counsel in the sweep - not a time for secular books or magazines, nor for checking cell phones. Fourth citation of the Oaks BYU devotional.</t>
  </si>
  <si>
    <t xml:space="preserve">Edward B. Rowe</t>
  </si>
  <si>
    <t xml:space="preserve">Choose Jesus Christ as Your Guide</t>
  </si>
  <si>
    <t xml:space="preserve">9:21</t>
  </si>
  <si>
    <t xml:space="preserve">Christ is a perfect and personal guide through terrain seeded with hidden dangers, with power to heal those who misstep.</t>
  </si>
  <si>
    <t xml:space="preserve">One, extended: as a young lawyer resolving a border dispute, walking a former war zone with thousands of undetected land mines, following his guide Winta - who escaped the war and volunteered to stay and observe. Where he steps, you step.</t>
  </si>
  <si>
    <t xml:space="preserve">None explicit; the modelled discipline is following a few paces behind, attending every step.</t>
  </si>
  <si>
    <t xml:space="preserve">Luke 18:22; Matt 4:19; 11:28; Moses 6:34; 3 Ne 9:13-14; 18:16; 27:21; 2 Ne 26:33; Mosiah 3:8,19; Rom 3:23; Moroni 7:27-28; Isa 41:10; 43:1,3</t>
  </si>
  <si>
    <t xml:space="preserve">Oaks 2024 (n.13); Oaks Church News interview 2025; Nelson 2024 &amp; 2022 (hesed, n.11)</t>
  </si>
  <si>
    <t xml:space="preserve">Oaks + Nelson</t>
  </si>
  <si>
    <t xml:space="preserve">**THE SINGLE BEST RM FIND OF THE SWEEP.** n.13: he became CASUAL in following his guide, attention drifting, until news of a casualty resharpened focus - 'why did I ever allow myself to become casual when I knew that casualness could lead to casualties?' Never spoken.</t>
  </si>
  <si>
    <t xml:space="preserve">1 Vigilance / 10 Fortification</t>
  </si>
  <si>
    <t xml:space="preserve">1, 6, 10</t>
  </si>
  <si>
    <t xml:space="preserve">D15</t>
  </si>
  <si>
    <t xml:space="preserve">RM Climb - Scaffolding Audit diagnosis in the speaker's own words</t>
  </si>
  <si>
    <t xml:space="preserve">Names the drift mechanism (casualness), its cost (casualties), and confesses it in himself - in a setting where the danger was real and invisible. Also: confidence grew by walking, not by being told.</t>
  </si>
  <si>
    <t xml:space="preserve">Ronald A. Rasband</t>
  </si>
  <si>
    <t xml:space="preserve">He Is Risen</t>
  </si>
  <si>
    <t xml:space="preserve">10:21</t>
  </si>
  <si>
    <t xml:space="preserve">The Resurrection is the core doctrine of the Church, and the risen Lord is known by His outstretched hands.</t>
  </si>
  <si>
    <t xml:space="preserve">One: his grandson Paxton, born with a rare chromosomal deletion, who lived three years, could not speak, crawl, walk or run - but whose hands reached out. The priesthood blessing citing John 9:3, and the family's increased trust.</t>
  </si>
  <si>
    <t xml:space="preserve">The hands catalogue - trace one physical image across the whole ministry (Peter sinking, Bethesda, washing feet, breaking bread, Bountiful, Isaiah 49:16).</t>
  </si>
  <si>
    <t xml:space="preserve">3 Ne 11:7-15; 17:7,11,21,25; Luke 24:5-6,39; John 5:26; 9:3; 14:3,19; 20:16; Alma 11:43; Ps 30:5; Isa 41:10; 49:16; D&amp;C 76:17</t>
  </si>
  <si>
    <t xml:space="preserve">'He Is Risen!' (199)</t>
  </si>
  <si>
    <t xml:space="preserve">Joseph Smith (Teachings ch.3); Oaks 'Resurrection' (2000)</t>
  </si>
  <si>
    <t xml:space="preserve">Predecessors</t>
  </si>
  <si>
    <t xml:space="preserve">n.11 - the women waited to attend the body in honor of the Sabbath (Luke 23:56). n.20 on Holy Land terminology.</t>
  </si>
  <si>
    <t xml:space="preserve">2 Memory</t>
  </si>
  <si>
    <t xml:space="preserve">2, 11</t>
  </si>
  <si>
    <t xml:space="preserve">Shepherd's Companion (disability, child loss); Fortress Part IV terminal zone</t>
  </si>
  <si>
    <t xml:space="preserve">Resurrection reaches the just AND the unjust; every knee shall bow. 'Resurrected whole and perfect' is the conference's clearest promise for anyone carrying a disability or a lost child.</t>
  </si>
  <si>
    <t xml:space="preserve">Dale G. Renlund</t>
  </si>
  <si>
    <t xml:space="preserve">Because of Jesus Christ</t>
  </si>
  <si>
    <t xml:space="preserve">11:00</t>
  </si>
  <si>
    <t xml:space="preserve">Not all matters are of equal value; when concerns compete, the answer is a fixed focus on Christ, not more effort.</t>
  </si>
  <si>
    <t xml:space="preserve">One, and it is the session's best image: their toy poodle Lady, given two balls at once, oscillating between blue and yellow until she gave up, walked to her basket, and lay down.</t>
  </si>
  <si>
    <t xml:space="preserve">None explicit; argues in hymn text the way Bednar argues in scripture.</t>
  </si>
  <si>
    <t xml:space="preserve">Alma 34:31; 11:37,40; 31:38; Mosiah 15:7-10; 26:29-30; Matt 28:18; John 14:6; 2 Ne 2:1-2,8; Ezek 33:12,14-16; Zeph 3:17; D&amp;C 137:9; 138:3,15-17</t>
  </si>
  <si>
    <t xml:space="preserve">SEVEN hymns incl. 'Where Can I Turn for Peace?' (129, x2), 'How Firm a Foundation' (85), 'I Will Walk with Jesus' (stanza quoted)</t>
  </si>
  <si>
    <t xml:space="preserve">Oaks x5 (2007, 2015, 2021, 2022, 2025); Nelson x2; Joseph Smith; Ballard 1987</t>
  </si>
  <si>
    <t xml:space="preserve">n.16 glosses Hawthorne's The Scarlet Letter in full. n.23 cites Ballard on suicide for the proposition that only Christ can weigh every factor.</t>
  </si>
  <si>
    <t xml:space="preserve">n.16 Hawthorne (1850), literary. n.35 etymology of 'keep your eye on the ball'.</t>
  </si>
  <si>
    <t xml:space="preserve">4 Equity</t>
  </si>
  <si>
    <t xml:space="preserve">1, 4, 11</t>
  </si>
  <si>
    <t xml:space="preserve">M12</t>
  </si>
  <si>
    <t xml:space="preserve">Wisdom Pyramid / prioritization; wanderer's return</t>
  </si>
  <si>
    <t xml:space="preserve">'If everyone, then anyone. If anyone, then even one. And if even one, then even you.' No spiritual scar, track, or trace; no scarlet letter. Lady's failure mode is oscillation, not laziness - the RM re-entry diagnosis.</t>
  </si>
  <si>
    <t xml:space="preserve">Thierry K. Mutombo</t>
  </si>
  <si>
    <t xml:space="preserve">The Joy of a Covenant Relationship with God</t>
  </si>
  <si>
    <t xml:space="preserve">10:19</t>
  </si>
  <si>
    <t xml:space="preserve">Covenant relationship deepens divine love and holds when inherited tradition and extended family push the other way.</t>
  </si>
  <si>
    <t xml:space="preserve">The hardest account in the corpus: four of their ten children died early in the marriage, the last being nine-month-old Allan, found in his crib. After the funeral the extended families decided WITHOUT CONSULTING THEM that tradition required separation. He came out with empty hands and refused.</t>
  </si>
  <si>
    <t xml:space="preserve">The paschal greeting as opening and closing frame ('Christ is risen' / 'Truly, He is risen').</t>
  </si>
  <si>
    <t xml:space="preserve">3 Ne 9:14,17; D&amp;C 121:1-2; 2 Ne 2:27; Mosiah 3:19; Luke 16:15; Mark 7:8; Acts 3:16; 1 Cor 15:19,22</t>
  </si>
  <si>
    <t xml:space="preserve">'Where Can I Turn for Peace?' (129), Emma Lou Thayne named</t>
  </si>
  <si>
    <t xml:space="preserve">Oaks 2024 &amp; 2013; Ezra Taft Benson (test/task/commandment); Bednar 2008</t>
  </si>
  <si>
    <t xml:space="preserve">Oaks + predecessor</t>
  </si>
  <si>
    <t xml:space="preserve">n.12 Benson's three-part frame in full.</t>
  </si>
  <si>
    <t xml:space="preserve">The covenant unit holding AGAINST the kin group - inverting the usual pressure direction.</t>
  </si>
  <si>
    <t xml:space="preserve">3, 7, 11</t>
  </si>
  <si>
    <t xml:space="preserve">Fortress Marker 3 (severest case); Cross-faith (paschal greeting)</t>
  </si>
  <si>
    <t xml:space="preserve">'My prayers did not change His mind and will.' The conference's honest 'no' answer to prayer - set beside Freeman's yes and Eyring's burdens-made-light. Marker 3's third vantage: Teh weeded tradition, Raass was held by it, Mutombo refused it publicly.</t>
  </si>
  <si>
    <t xml:space="preserve">Alan R. Walker</t>
  </si>
  <si>
    <t xml:space="preserve">A Peculiar Treasure</t>
  </si>
  <si>
    <t xml:space="preserve">8:24</t>
  </si>
  <si>
    <t xml:space="preserve">Litany / inventory</t>
  </si>
  <si>
    <t xml:space="preserve">Exodus 19:5 sets two conditions for becoming the Lord's treasure - obey His voice and keep His covenant - and it is neither casual nor accidental.</t>
  </si>
  <si>
    <t xml:space="preserve">One: as a boy at his grandparents' home at the base of the Andes in Mendoza, Argentina, breaking open shiny rocks hoping for something precious - only ever finding more glittering minerals.</t>
  </si>
  <si>
    <t xml:space="preserve">The word census on 'treasure' - dozens of warnings, then the one passage where the Lord calls US His treasure. FOURTH independent census instance.</t>
  </si>
  <si>
    <t xml:space="preserve">Exodus 19:5 (x2); Moses 1:39; John 3:16; 15:13; D&amp;C 97:8</t>
  </si>
  <si>
    <t xml:space="preserve">Nelson 2022 (3rd conference citation); Oaks 2024 (3rd citation); Christofferson 2009</t>
  </si>
  <si>
    <t xml:space="preserve">4, 8</t>
  </si>
  <si>
    <t xml:space="preserve">M13, M14</t>
  </si>
  <si>
    <t xml:space="preserve">RM header (the acceptance criterion)</t>
  </si>
  <si>
    <t xml:space="preserve">D&amp;C 97:8 is the anti-Joash acceptance test: honest hearts, broken, contrite spirits, willing to observe covenants by sacrifice. 'The Lord does not ask for perfection all at once.' Third speaker this session to use 'casual'.</t>
  </si>
  <si>
    <t xml:space="preserve">Alive in Christ</t>
  </si>
  <si>
    <t xml:space="preserve">13:38</t>
  </si>
  <si>
    <t xml:space="preserve">Belief in a literal, universal resurrection changes the whole perspective of mortal life - and the consequence is to love adversaries and be peacemakers.</t>
  </si>
  <si>
    <t xml:space="preserve">One, the best in the session: the woman in the yellow dress he felt impressed to call on at a stake conference - a nurse who despised her most repulsive patient, until she found him thrashing in broken glass and blood and felt an electric current of God's love toward him. He died saying he wanted to go home.</t>
  </si>
  <si>
    <t xml:space="preserve">Philological: the full meaning of 'enemies' in King James's sources extends to any who actively oppose - so today, 'love our adversaries.'</t>
  </si>
  <si>
    <t xml:space="preserve">Alma 11:43-44; Matt 5:9,43-44; 22:37-39; Luke 10:29-37; 1 John 4:19; 3 Ne 12:9; Mosiah 5:2</t>
  </si>
  <si>
    <t xml:space="preserve">David O. McKay; Howard W. Hunter; Joseph Smith (Journal, JS Papers); Nelson 2023</t>
  </si>
  <si>
    <t xml:space="preserve">Predecessors only</t>
  </si>
  <si>
    <t xml:space="preserve">'Many current writers characterize the time in which we live as toxic' - sourced diagnosis of the present.</t>
  </si>
  <si>
    <t xml:space="preserve">The nurse is the extreme case: the transformation ran in the INVITER, not the invitee.</t>
  </si>
  <si>
    <t xml:space="preserve">4, 7, 11</t>
  </si>
  <si>
    <t xml:space="preserve">W13</t>
  </si>
  <si>
    <t xml:space="preserve">FORTRESS THESIS (individual reformation); Two Worlds</t>
  </si>
  <si>
    <t xml:space="preserve">'Only by individual reformation can an entire society eventually rise above such evils.' The Fortress Sequence's core claim from the highest source. Also the honest double bind: accused of no love when keeping commandments, accused of endorsement when showing love.</t>
  </si>
  <si>
    <t xml:space="preserve">The Character of Christ</t>
  </si>
  <si>
    <t xml:space="preserve">12:11</t>
  </si>
  <si>
    <t xml:space="preserve">Peter's question - what manner of persons ought ye to be - is answered by acquiring Christ's character; and character is downstream of motive.</t>
  </si>
  <si>
    <t xml:space="preserve">One, and it is borrowed: Bednar's account of the mother who, on learning her own daughter had died in the crash, turned immediately to the two other mothers. 'No self-pity; no turning inward.'</t>
  </si>
  <si>
    <t xml:space="preserve">The motive-first inversion: don't work on attributes, work on the thoughts, desires and intents of the heart that produce them. Three motivations named, each with its attribute cluster.</t>
  </si>
  <si>
    <t xml:space="preserve">2 Peter 3:3-14; Mosiah 5:2,7; Alma 5:12,14,26; HELAMAN 15:7; Moroni 7:47-48; John 4:34; 15:13; 19:26-27; Mark 10:43,45; Matt 11:29; Heb 4:15; D&amp;C 84:20; 121:43; 82:19; Moses 1:39</t>
  </si>
  <si>
    <t xml:space="preserve">None in address.</t>
  </si>
  <si>
    <t xml:space="preserve">Bednar, BYU-Idaho symposium 2003; Oaks BYU Feb 2026 (SEVENTH citation); Nelson 2025 (his final address as President); Kim B. Clark 2022</t>
  </si>
  <si>
    <t xml:space="preserve">Apostles + predecessor</t>
  </si>
  <si>
    <t xml:space="preserve">MAJOR, three items. n.7 - perfection is not to be fully realized in mortality; look forward not with dread but joyful anticipation. n.14 - ENOS'S THREE-STAGE PRAYER: self, then his people, then the enemies of his people, 'with many long strugglings.' n.19 - Zion as every man seeking his neighbor's interest; Jesus is not jealous of His powers.</t>
  </si>
  <si>
    <t xml:space="preserve">n.28 Alexander Balmain Bruce, The Training of the Twelve (2nd ed. 1877) - the mirrors must be finely polished.</t>
  </si>
  <si>
    <t xml:space="preserve">11 Force (restraint)</t>
  </si>
  <si>
    <t xml:space="preserve">TEMPO HYPOTHESIS CONFIRMED: instantaneous for some, incremental for most, 'the outcome is the same and equally valid.'</t>
  </si>
  <si>
    <t xml:space="preserve">1, 4, 5, 6, 9, 11</t>
  </si>
  <si>
    <t xml:space="preserve">D21, M18</t>
  </si>
  <si>
    <t xml:space="preserve">FORTRESS THESIS (aggregation of individual choices); Story of You (causal order); Nazareth tempo</t>
  </si>
  <si>
    <t xml:space="preserve">'It is the aggregation of individual choices over time that forms and changes societies for good OR ILL' - the Fortress claim with its mechanism named and running both directions. Also: 'it is not simply a matter of our striving' (asymmetric model, 3rd instance). Missionaries named as the paradigm of selflessness. Repentance cadence supplied: 'keep repenting to improve.'</t>
  </si>
  <si>
    <t xml:space="preserve">Chi Hong (Sam) Wong</t>
  </si>
  <si>
    <t xml:space="preserve">Remember, Remember</t>
  </si>
  <si>
    <t xml:space="preserve">8:00</t>
  </si>
  <si>
    <t xml:space="preserve">God planted His reminders in the Book of Mormon and marked them with a doubled word; five verses carry the whole plan.</t>
  </si>
  <si>
    <t xml:space="preserve">One, and it is a method: ten years ago, pondering three questions, a clear thought came that the reminders would be in the Book of Mormon.</t>
  </si>
  <si>
    <t xml:space="preserve">The repeated-phrase census (find every instance of a doubled phrase and read them as a set); recap-as-mnemonic (restate as a numbered list and re-teach it).</t>
  </si>
  <si>
    <t xml:space="preserve">Mosiah 2:41; Alma 37:13; Hel 5:9; Hel 5:12; Hel 14:30; Job 38:7</t>
  </si>
  <si>
    <t xml:space="preserve">Oaks 2024 (kite and string); Bednar 2024 (anchor pins; receive/review/remember/renew)</t>
  </si>
  <si>
    <t xml:space="preserve">Two living apostles</t>
  </si>
  <si>
    <t xml:space="preserve">Transmissible Word; Durable Promise</t>
  </si>
  <si>
    <t xml:space="preserve">M5</t>
  </si>
  <si>
    <t xml:space="preserve">Fortress Marker 2; RM Wall 10</t>
  </si>
  <si>
    <t xml:space="preserve">Best guardrail image in the corpus: the string is what holds the kite against mortal winds. Terminal contrast stated as a pair (Mosiah 2:41 vs Alma 37:13).</t>
  </si>
  <si>
    <t xml:space="preserve">Aaron T. Hall</t>
  </si>
  <si>
    <t xml:space="preserve">I Glory in My Jesus</t>
  </si>
  <si>
    <t xml:space="preserve">'My Jesus' is a possessive, not a formality; glorying deepens by knowing His names and what each one does.</t>
  </si>
  <si>
    <t xml:space="preserve">Essentially none personal - the value is entirely in the method and reference set.</t>
  </si>
  <si>
    <t xml:space="preserve">The name inventory (60+ names in 1-2 Nephi; work six, then assign the hearer their own); Nephi's four-reasons-plus-one-commitment witness template (2 Ne 4:20-21,34).</t>
  </si>
  <si>
    <t xml:space="preserve">2 Ne 33:6; 4:20-21,34; 31:19,21; Alma 26:16; 5:33,60; Isa 49:16; D&amp;C 88:63; D&amp;C 19:23; Mosiah 28:4; D&amp;C 45:3,5</t>
  </si>
  <si>
    <t xml:space="preserve">Kearon 2024; Renlund 2024 &amp; 2021; Nelson 2022; Oaks 2021; The Living Christ</t>
  </si>
  <si>
    <t xml:space="preserve">Apostle-dense</t>
  </si>
  <si>
    <t xml:space="preserve">Ammon named as one who walked a path of rebellion and sin - the corpus's key figure for the returned-and-fallen.</t>
  </si>
  <si>
    <t xml:space="preserve">3, 11</t>
  </si>
  <si>
    <t xml:space="preserve">D8, D9, M7</t>
  </si>
  <si>
    <t xml:space="preserve">RM wanderer half; Story of You (transform/save/exalt)</t>
  </si>
  <si>
    <t xml:space="preserve">D&amp;C 88:63 + 19:23 give a three-step daily practice: draw near, and to do so learn of Him, listen to His words, walk with Him.</t>
  </si>
  <si>
    <t xml:space="preserve">Susan H. Porter</t>
  </si>
  <si>
    <t xml:space="preserve">Primary General President</t>
  </si>
  <si>
    <t xml:space="preserve">'Here Am I, Send Me'</t>
  </si>
  <si>
    <t xml:space="preserve">8:44</t>
  </si>
  <si>
    <t xml:space="preserve">Audience-specific address</t>
  </si>
  <si>
    <t xml:space="preserve">Christ's premortal volunteering is a sentence any disciple can pray; offer what you have, the multiplication is not your job.</t>
  </si>
  <si>
    <t xml:space="preserve">FIVE, deliberately small: Caribbean mother and son; Ghana lunches; Cambodia activity kits; Chloe and Eli (both 10) addressing business leaders; the Primary boy raising a congregation's hands. Plus her father's 'now AND later'.</t>
  </si>
  <si>
    <t xml:space="preserve">Offer, then listen. Pray 'Here am I, send me,' then stop and listen for thoughts and ideas.</t>
  </si>
  <si>
    <t xml:space="preserve">Abraham 3:27; Matt 14:15-21; John 6:5-13; Alma 37:6; 38:9; Ether 4:12; D&amp;C 93:29; 130:18; 1 Cor 2:9; Family Proclamation</t>
  </si>
  <si>
    <t xml:space="preserve">'Holding Hands Around the World' (Hymns for Home and Church)</t>
  </si>
  <si>
    <t xml:space="preserve">Oaks 2025; Ezra Taft Benson BYU 1974</t>
  </si>
  <si>
    <t xml:space="preserve">Prophet + one predecessor</t>
  </si>
  <si>
    <t xml:space="preserve">n.10 the full Benson passage on turning your life over to God.</t>
  </si>
  <si>
    <t xml:space="preserve">Children as inviters - the transmission running upward from child to adult, three separate times.</t>
  </si>
  <si>
    <t xml:space="preserve">1, 9, 12</t>
  </si>
  <si>
    <t xml:space="preserve">D7</t>
  </si>
  <si>
    <t xml:space="preserve">Three Questions of Life (external confirmation)</t>
  </si>
  <si>
    <t xml:space="preserve">STANDOUT CORRELATION: Identity, Purpose, Destiny stated in order, from the Family Proclamation, to eight-year-olds. Cleanest external confirmation the Three Questions have received.</t>
  </si>
  <si>
    <t xml:space="preserve">Neil L. Andersen</t>
  </si>
  <si>
    <t xml:space="preserve">Eternal Marriage Is an Eternal Journey</t>
  </si>
  <si>
    <t xml:space="preserve">11:42</t>
  </si>
  <si>
    <t xml:space="preserve">Eternal marriage is a crucible of becoming, not a status achieved at an altar; difficulty is part of the design.</t>
  </si>
  <si>
    <t xml:space="preserve">FOUR: kneeling across the altar from Kathy; the Shakespeare napkins kept around the apartment; President Packer's 'It is for Kathy!'; and the fifty-year marriage told through the son - depression, the father on his knees and quietly fasting again, later cancer and neurological illness, 'they did it together through the final day.'</t>
  </si>
  <si>
    <t xml:space="preserve">None explicit.</t>
  </si>
  <si>
    <t xml:space="preserve">Luke 24:5-6; Matt 16:19; D&amp;C 132:19-20; 131:1-4; Isa 40:28-31; Family Proclamation</t>
  </si>
  <si>
    <t xml:space="preserve">Shakespeare, Sonnet 116</t>
  </si>
  <si>
    <t xml:space="preserve">Hinckley 1993; Nelson 1995 'Perfection Pending'; Oaks BYU Feb 2026, 1993, 2007; Faust 1993; Brigham Young; Joseph Fielding Smith; Willoughby 2021</t>
  </si>
  <si>
    <t xml:space="preserve">Predecessors + one apostle</t>
  </si>
  <si>
    <t xml:space="preserve">MAJOR. n.14 carries his divorce teaching, stated in the address as reserved for the published version. n.4 Nelson 'Perfection Pending' in full.</t>
  </si>
  <si>
    <t xml:space="preserve">n.5 Willoughby, The Millennial Marriage (2021) - sociology of eroding marriage confidence.</t>
  </si>
  <si>
    <t xml:space="preserve">Fifty-year case; the cost borne by the well spouse across two illness eras.</t>
  </si>
  <si>
    <t xml:space="preserve">1, 7, 8, 12</t>
  </si>
  <si>
    <t xml:space="preserve">M8</t>
  </si>
  <si>
    <t xml:space="preserve">RM Climb Wall 7 &amp; Wall 1</t>
  </si>
  <si>
    <t xml:space="preserve">'Perfection Pending' is the single most useful item for the RM's central anxiety: the divine attributes will not all be perfected in this life.</t>
  </si>
  <si>
    <t xml:space="preserve">Quentin L. Cook</t>
  </si>
  <si>
    <t xml:space="preserve">Keys, Covenants, and Easter</t>
  </si>
  <si>
    <t xml:space="preserve">11:32</t>
  </si>
  <si>
    <t xml:space="preserve">Elijah's sealing keys, restored Easter Sunday 1836 in Kirtland, are essential; without them no eternal families.</t>
  </si>
  <si>
    <t xml:space="preserve">Temple open-house tours with Elder Holland for rabbis and Jewish leaders from 2009; the twelve oxen and 1 Kings 7:25 bringing tears; Holland overcome in the sealing room; Orson Hyde 175th anniversary in Jerusalem; two former companions and their wives reading the Gospels beside the Garden Tomb.</t>
  </si>
  <si>
    <t xml:space="preserve">Re-inhabit the ignorance - ask what a 17-year-old with only a Bible would have asked, then answer from scratch.</t>
  </si>
  <si>
    <t xml:space="preserve">D&amp;C 2:1-3; Mal 4:5-6; D&amp;C 110; 128:8-9,17; 138:47-48; JS-H 1:27-54; Luke 9:28-36; 3 Ne 25:5; 1 Kgs 7:23-25</t>
  </si>
  <si>
    <t xml:space="preserve">Joseph Smith; Christofferson 2023; Eyring 2005; Bednar 2011; Nelson 2024; Hunter; Ricks (BYU Studies 1983)</t>
  </si>
  <si>
    <t xml:space="preserve">Apostles + academic</t>
  </si>
  <si>
    <t xml:space="preserve">n.9 Joseph Smith on why Elijah; n.14 Jews still set a place for Elijah at the seder.</t>
  </si>
  <si>
    <t xml:space="preserve">n.5 Ricks, BYU Studies 23:4 (1983) on Kirtland and Passover; n.13 Quran 37:123-26.</t>
  </si>
  <si>
    <t xml:space="preserve">Fixed Center</t>
  </si>
  <si>
    <t xml:space="preserve">2, 12</t>
  </si>
  <si>
    <t xml:space="preserve">Q6</t>
  </si>
  <si>
    <t xml:space="preserve">Production Line 2 / The Common Tongue (RICHEST FEED); dead-side vein (deferred)</t>
  </si>
  <si>
    <t xml:space="preserve">Moroni taught AND RETAUGHT through one night - repetition as the method of a reliable handoff. 'You do not need to physically visit Jerusalem' - study delivers the same confirmation.</t>
  </si>
  <si>
    <t xml:space="preserve">Taniela B. Wakolo</t>
  </si>
  <si>
    <t xml:space="preserve">Come unto Christ - Together</t>
  </si>
  <si>
    <t xml:space="preserve">8:37</t>
  </si>
  <si>
    <t xml:space="preserve">The temple is a symbol of hope, not pressure; the gospel is a bridge to unite families, not a wedge.</t>
  </si>
  <si>
    <t xml:space="preserve">FOUR cases: Denny &amp; Alex (NZ, 2 yrs); the Brisbane 7-year-old and his father (declined, still open); Bob &amp; Marlene Hasenyager (the stake president's one question; sealed 4 months before Bob died); and the Fiji wife who waited 8 years and 24 missionaries - revealed to be his own wife Anita.</t>
  </si>
  <si>
    <t xml:space="preserve">Road-sign escalation (stop / 'Full stop' / 'Really you gotta stop'); Moses's two questions (Why? By what means?); the withheld disclosure.</t>
  </si>
  <si>
    <t xml:space="preserve">Moses 1:27-33,39; 2 Ne 26:33; D&amp;C 49:15-17; D&amp;C 2:3; Jacob 1:7; Omni 1:26; Moroni 10:32; Ex 3:6,15</t>
  </si>
  <si>
    <t xml:space="preserve">Oaks 2025; Gong 2025</t>
  </si>
  <si>
    <t xml:space="preserve">RICHEST NAZARETH YIELD: four complete case cards with inviter, mode, cost, tempo (2 yrs / open / decades / 8 yrs &amp; 24 missionaries) and a LIVE rejection with the invitation intact.</t>
  </si>
  <si>
    <t xml:space="preserve">Q5</t>
  </si>
  <si>
    <t xml:space="preserve">Nazareth Effect case file; RM loving-unbelievers section</t>
  </si>
  <si>
    <t xml:space="preserve">'The Savior never forces. He invites.' Nelson's Question Hierarchy (Why then How) in one scriptural instance. Patriarchal blessing enters the corpus here.</t>
  </si>
  <si>
    <t xml:space="preserve">Gerrit W. Gong</t>
  </si>
  <si>
    <t xml:space="preserve">'Tis Eastertide: No One Walks Alone</t>
  </si>
  <si>
    <t xml:space="preserve">11:09</t>
  </si>
  <si>
    <t xml:space="preserve">The road to Emmaus is a covenant pattern: He walks with us unrecognized; His word makes the heart burn and His ordinance opens the eyes.</t>
  </si>
  <si>
    <t xml:space="preserve">As a new BYU freshman on a panel with the new BYU president, who explained his red tie was for his 40th birthday; and Oaks's story of the grandfather's chest of coins and the granddaughter who took only gold pieces.</t>
  </si>
  <si>
    <t xml:space="preserve">Second-person immersion ('Imagine we are walking to Emmaus'); etymology as doorway (Emmaus = hot springs = healing); word-threading on abide/abode.</t>
  </si>
  <si>
    <t xml:space="preserve">Luke 24; Mark 16:9-14; John 14-15; John 20:11-15; D&amp;C 20:77,79; Moses 6:34; Matt 6:33; 2 Ne 11:5</t>
  </si>
  <si>
    <t xml:space="preserve">'Abide with Me; Tis Eventide' (165); 'Abide with Me!' (166); 'I Know That My Redeemer Lives' (136)</t>
  </si>
  <si>
    <t xml:space="preserve">Bednar 2023; Oaks 2007; Teachings: Joseph Smith</t>
  </si>
  <si>
    <t xml:space="preserve">Apostle + predecessor</t>
  </si>
  <si>
    <t xml:space="preserve">MAJOR. n.16 carries a full spoken-nowhere promise to the youth. n.18 quotes 'Abide with Me!' at length.</t>
  </si>
  <si>
    <t xml:space="preserve">Three unrecognized appearances on one Easter day - absence of recognition is not absence.</t>
  </si>
  <si>
    <t xml:space="preserve">2, 7</t>
  </si>
  <si>
    <t xml:space="preserve">W6, W8, M6</t>
  </si>
  <si>
    <t xml:space="preserve">RM Climb Wall 7 (best closing line); succession record</t>
  </si>
  <si>
    <t xml:space="preserve">Solemn assembly historically anchored and the April 2026 sustainings named. Second apostle in the conference to run the word-threading method (with Bednar on 'endure').</t>
  </si>
  <si>
    <t xml:space="preserve">Marker coverage - full conference, 34 addresses</t>
  </si>
  <si>
    <t xml:space="preserve">Marker</t>
  </si>
  <si>
    <t xml:space="preserve">Sat AM</t>
  </si>
  <si>
    <t xml:space="preserve">Sat PM</t>
  </si>
  <si>
    <t xml:space="preserve">Sun AM</t>
  </si>
  <si>
    <t xml:space="preserve">Sun PM</t>
  </si>
  <si>
    <t xml:space="preserve">Total</t>
  </si>
  <si>
    <t xml:space="preserve">Read</t>
  </si>
  <si>
    <t xml:space="preserve">Watchful ascent; no standing still</t>
  </si>
  <si>
    <t xml:space="preserve">The record plus the living voice</t>
  </si>
  <si>
    <t xml:space="preserve">The undivided heart vs. the blend</t>
  </si>
  <si>
    <t xml:space="preserve">Equity, consecration, no status ladder</t>
  </si>
  <si>
    <t xml:space="preserve">Word-to-deed alignment under cost</t>
  </si>
  <si>
    <t xml:space="preserve">Watchmen on the tower; correction welcomed</t>
  </si>
  <si>
    <t xml:space="preserve">Cohesion of the covenant body</t>
  </si>
  <si>
    <t xml:space="preserve">Integrity; the kept word</t>
  </si>
  <si>
    <t xml:space="preserve">Servant leadership; whom you follow</t>
  </si>
  <si>
    <t xml:space="preserve">Fortification; guardrails set in advance</t>
  </si>
  <si>
    <t xml:space="preserve">Strength restrained by mercy</t>
  </si>
  <si>
    <t xml:space="preserve">Handoff to the rising generation</t>
  </si>
  <si>
    <t xml:space="preserve">Addresses</t>
  </si>
  <si>
    <t xml:space="preserve">Includes 4 procedural items and 1 placeholder (Christofferson, SunPM)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</si>
</sst>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9"/>
      <color rgb="FFFFFFFF"/>
      <name val="Arial"/>
      <family val="0"/>
      <charset val="1"/>
    </font>
    <font>
      <sz val="9"/>
      <name val="Arial"/>
      <family val="0"/>
      <charset val="1"/>
    </font>
    <font>
      <b val="true"/>
      <sz val="9"/>
      <color rgb="FF1F3864"/>
      <name val="Arial"/>
      <family val="0"/>
      <charset val="1"/>
    </font>
    <font>
      <b val="true"/>
      <sz val="12"/>
      <color rgb="FF1F3864"/>
      <name val="Arial"/>
      <family val="0"/>
      <charset val="1"/>
    </font>
    <font>
      <b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DEDE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DEDE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2"/>
  </cols>
  <sheetData>
    <row r="1" customFormat="false" ht="17.35" hidden="false" customHeight="false" outlineLevel="0" collapsed="false">
      <c r="A1" s="1" t="s">
        <v>0</v>
      </c>
    </row>
    <row r="2" customFormat="false" ht="31.5" hidden="false" customHeight="true" outlineLevel="0" collapsed="false">
      <c r="A2" s="2"/>
      <c r="B2" s="3"/>
    </row>
    <row r="3" customFormat="false" ht="31.5" hidden="false" customHeight="true" outlineLevel="0" collapsed="false">
      <c r="A3" s="2" t="s">
        <v>1</v>
      </c>
      <c r="B3" s="3" t="s">
        <v>2</v>
      </c>
    </row>
    <row r="4" customFormat="false" ht="31.5" hidden="false" customHeight="true" outlineLevel="0" collapsed="false">
      <c r="A4" s="2" t="s">
        <v>3</v>
      </c>
      <c r="B4" s="3" t="s">
        <v>4</v>
      </c>
    </row>
    <row r="5" customFormat="false" ht="31.5" hidden="false" customHeight="true" outlineLevel="0" collapsed="false">
      <c r="A5" s="2" t="s">
        <v>5</v>
      </c>
      <c r="B5" s="3" t="s">
        <v>6</v>
      </c>
    </row>
    <row r="6" customFormat="false" ht="31.5" hidden="false" customHeight="true" outlineLevel="0" collapsed="false">
      <c r="A6" s="2" t="s">
        <v>7</v>
      </c>
      <c r="B6" s="3" t="s">
        <v>8</v>
      </c>
    </row>
    <row r="7" customFormat="false" ht="31.5" hidden="false" customHeight="true" outlineLevel="0" collapsed="false">
      <c r="A7" s="2" t="s">
        <v>9</v>
      </c>
      <c r="B7" s="3" t="s">
        <v>10</v>
      </c>
    </row>
    <row r="8" customFormat="false" ht="31.5" hidden="false" customHeight="true" outlineLevel="0" collapsed="false">
      <c r="A8" s="2" t="s">
        <v>11</v>
      </c>
      <c r="B8" s="3" t="s">
        <v>12</v>
      </c>
    </row>
    <row r="9" customFormat="false" ht="31.5" hidden="false" customHeight="true" outlineLevel="0" collapsed="false">
      <c r="A9" s="2" t="s">
        <v>13</v>
      </c>
      <c r="B9" s="3" t="s">
        <v>14</v>
      </c>
    </row>
    <row r="10" customFormat="false" ht="31.5" hidden="false" customHeight="true" outlineLevel="0" collapsed="false">
      <c r="A10" s="2" t="s">
        <v>15</v>
      </c>
      <c r="B10" s="3" t="s">
        <v>16</v>
      </c>
    </row>
    <row r="11" customFormat="false" ht="31.5" hidden="false" customHeight="true" outlineLevel="0" collapsed="false">
      <c r="A11" s="2" t="s">
        <v>17</v>
      </c>
      <c r="B11" s="3" t="s">
        <v>18</v>
      </c>
    </row>
    <row r="12" customFormat="false" ht="31.5" hidden="false" customHeight="true" outlineLevel="0" collapsed="false">
      <c r="A12" s="2" t="s">
        <v>19</v>
      </c>
      <c r="B12" s="3" t="s">
        <v>20</v>
      </c>
    </row>
    <row r="13" customFormat="false" ht="31.5" hidden="false" customHeight="true" outlineLevel="0" collapsed="false">
      <c r="A13" s="2" t="s">
        <v>21</v>
      </c>
      <c r="B13" s="3" t="s">
        <v>22</v>
      </c>
    </row>
    <row r="14" customFormat="false" ht="31.5" hidden="false" customHeight="true" outlineLevel="0" collapsed="false">
      <c r="A14" s="2" t="s">
        <v>23</v>
      </c>
      <c r="B14"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2"/>
    <col collapsed="false" customWidth="true" hidden="false" outlineLevel="0" max="4" min="4" style="0" width="34"/>
    <col collapsed="false" customWidth="true" hidden="false" outlineLevel="0" max="5" min="5" style="0" width="6"/>
    <col collapsed="false" customWidth="true" hidden="false" outlineLevel="0" max="6" min="6" style="0" width="18"/>
    <col collapsed="false" customWidth="true" hidden="false" outlineLevel="0" max="7" min="7" style="0" width="52"/>
    <col collapsed="false" customWidth="true" hidden="false" outlineLevel="0" max="8" min="8" style="0" width="46"/>
    <col collapsed="false" customWidth="true" hidden="false" outlineLevel="0" max="9" min="9" style="0" width="44"/>
    <col collapsed="false" customWidth="true" hidden="false" outlineLevel="0" max="10" min="10" style="0" width="40"/>
    <col collapsed="false" customWidth="true" hidden="false" outlineLevel="0" max="11" min="11" style="0" width="26"/>
    <col collapsed="false" customWidth="true" hidden="false" outlineLevel="0" max="12" min="12" style="0" width="38"/>
    <col collapsed="false" customWidth="true" hidden="false" outlineLevel="0" max="13" min="13" style="0" width="20"/>
    <col collapsed="false" customWidth="true" hidden="false" outlineLevel="0" max="14" min="14" style="0" width="32"/>
    <col collapsed="false" customWidth="true" hidden="false" outlineLevel="0" max="15" min="15" style="0" width="30"/>
    <col collapsed="false" customWidth="true" hidden="false" outlineLevel="0" max="16" min="16" style="0" width="20"/>
    <col collapsed="false" customWidth="true" hidden="false" outlineLevel="0" max="28" min="17" style="0" width="6"/>
    <col collapsed="false" customWidth="true" hidden="false" outlineLevel="0" max="29" min="29" style="0" width="22"/>
    <col collapsed="false" customWidth="true" hidden="false" outlineLevel="0" max="30" min="30" style="0" width="40"/>
    <col collapsed="false" customWidth="true" hidden="false" outlineLevel="0" max="31" min="31" style="0" width="16"/>
    <col collapsed="false" customWidth="true" hidden="false" outlineLevel="0" max="32" min="32" style="0" width="22"/>
    <col collapsed="false" customWidth="true" hidden="false" outlineLevel="0" max="33" min="33" style="0" width="30"/>
    <col collapsed="false" customWidth="true" hidden="false" outlineLevel="0" max="34" min="34" style="0" width="44"/>
  </cols>
  <sheetData>
    <row r="1" customFormat="false" ht="33.75" hidden="false" customHeight="true" outlineLevel="0" collapsed="false">
      <c r="A1" s="4" t="s">
        <v>25</v>
      </c>
      <c r="B1" s="4" t="s">
        <v>26</v>
      </c>
      <c r="C1" s="4" t="s">
        <v>27</v>
      </c>
      <c r="D1" s="4" t="s">
        <v>28</v>
      </c>
      <c r="E1" s="4" t="s">
        <v>29</v>
      </c>
      <c r="F1" s="4" t="s">
        <v>30</v>
      </c>
      <c r="G1" s="4" t="s">
        <v>31</v>
      </c>
      <c r="H1" s="4" t="s">
        <v>32</v>
      </c>
      <c r="I1" s="4" t="s">
        <v>33</v>
      </c>
      <c r="J1" s="4" t="s">
        <v>34</v>
      </c>
      <c r="K1" s="4" t="s">
        <v>35</v>
      </c>
      <c r="L1" s="4" t="s">
        <v>36</v>
      </c>
      <c r="M1" s="4" t="s">
        <v>37</v>
      </c>
      <c r="N1" s="4" t="s">
        <v>38</v>
      </c>
      <c r="O1" s="4" t="s">
        <v>39</v>
      </c>
      <c r="P1" s="4" t="s">
        <v>40</v>
      </c>
      <c r="Q1" s="4" t="s">
        <v>41</v>
      </c>
      <c r="R1" s="4" t="s">
        <v>42</v>
      </c>
      <c r="S1" s="4" t="s">
        <v>43</v>
      </c>
      <c r="T1" s="4" t="s">
        <v>44</v>
      </c>
      <c r="U1" s="4" t="s">
        <v>45</v>
      </c>
      <c r="V1" s="4" t="s">
        <v>46</v>
      </c>
      <c r="W1" s="4" t="s">
        <v>47</v>
      </c>
      <c r="X1" s="4" t="s">
        <v>48</v>
      </c>
      <c r="Y1" s="4" t="s">
        <v>49</v>
      </c>
      <c r="Z1" s="4" t="s">
        <v>50</v>
      </c>
      <c r="AA1" s="4" t="s">
        <v>51</v>
      </c>
      <c r="AB1" s="4" t="s">
        <v>52</v>
      </c>
      <c r="AC1" s="4" t="s">
        <v>53</v>
      </c>
      <c r="AD1" s="4" t="s">
        <v>54</v>
      </c>
      <c r="AE1" s="4" t="s">
        <v>11</v>
      </c>
      <c r="AF1" s="4" t="s">
        <v>55</v>
      </c>
      <c r="AG1" s="4" t="s">
        <v>56</v>
      </c>
      <c r="AH1" s="4" t="s">
        <v>57</v>
      </c>
    </row>
    <row r="2" customFormat="false" ht="91.5" hidden="false" customHeight="true" outlineLevel="0" collapsed="false">
      <c r="A2" s="5" t="n">
        <v>1</v>
      </c>
      <c r="B2" s="5" t="s">
        <v>58</v>
      </c>
      <c r="C2" s="5" t="s">
        <v>59</v>
      </c>
      <c r="D2" s="5" t="s">
        <v>60</v>
      </c>
      <c r="E2" s="5" t="s">
        <v>61</v>
      </c>
      <c r="F2" s="5" t="s">
        <v>62</v>
      </c>
      <c r="G2" s="5" t="s">
        <v>63</v>
      </c>
      <c r="H2" s="5" t="s">
        <v>64</v>
      </c>
      <c r="I2" s="5" t="s">
        <v>64</v>
      </c>
      <c r="J2" s="5" t="s">
        <v>65</v>
      </c>
      <c r="K2" s="5" t="s">
        <v>64</v>
      </c>
      <c r="L2" s="5" t="s">
        <v>64</v>
      </c>
      <c r="M2" s="5" t="s">
        <v>66</v>
      </c>
      <c r="N2" s="5" t="s">
        <v>64</v>
      </c>
      <c r="O2" s="5" t="s">
        <v>64</v>
      </c>
      <c r="P2" s="5" t="s">
        <v>67</v>
      </c>
      <c r="Q2" s="6"/>
      <c r="R2" s="6"/>
      <c r="S2" s="6"/>
      <c r="T2" s="6"/>
      <c r="U2" s="6"/>
      <c r="V2" s="6"/>
      <c r="W2" s="6"/>
      <c r="X2" s="6"/>
      <c r="Y2" s="6" t="s">
        <v>68</v>
      </c>
      <c r="Z2" s="6"/>
      <c r="AA2" s="6"/>
      <c r="AB2" s="6" t="s">
        <v>68</v>
      </c>
      <c r="AC2" s="5" t="s">
        <v>69</v>
      </c>
      <c r="AD2" s="5" t="s">
        <v>70</v>
      </c>
      <c r="AE2" s="5" t="s">
        <v>71</v>
      </c>
      <c r="AF2" s="5" t="s">
        <v>72</v>
      </c>
      <c r="AG2" s="5" t="s">
        <v>73</v>
      </c>
      <c r="AH2" s="5" t="s">
        <v>74</v>
      </c>
    </row>
    <row r="3" customFormat="false" ht="91.5" hidden="false" customHeight="true" outlineLevel="0" collapsed="false">
      <c r="A3" s="5" t="n">
        <v>2</v>
      </c>
      <c r="B3" s="5" t="s">
        <v>75</v>
      </c>
      <c r="C3" s="5" t="s">
        <v>76</v>
      </c>
      <c r="D3" s="5" t="s">
        <v>77</v>
      </c>
      <c r="E3" s="5" t="s">
        <v>78</v>
      </c>
      <c r="F3" s="5" t="s">
        <v>62</v>
      </c>
      <c r="G3" s="5" t="s">
        <v>79</v>
      </c>
      <c r="H3" s="5" t="s">
        <v>80</v>
      </c>
      <c r="I3" s="5" t="s">
        <v>64</v>
      </c>
      <c r="J3" s="5" t="s">
        <v>65</v>
      </c>
      <c r="K3" s="5" t="s">
        <v>64</v>
      </c>
      <c r="L3" s="5" t="s">
        <v>64</v>
      </c>
      <c r="M3" s="5" t="s">
        <v>66</v>
      </c>
      <c r="N3" s="5" t="s">
        <v>64</v>
      </c>
      <c r="O3" s="5" t="s">
        <v>64</v>
      </c>
      <c r="P3" s="5" t="s">
        <v>67</v>
      </c>
      <c r="Q3" s="6"/>
      <c r="R3" s="6"/>
      <c r="S3" s="6"/>
      <c r="T3" s="6" t="s">
        <v>68</v>
      </c>
      <c r="U3" s="6"/>
      <c r="V3" s="6"/>
      <c r="W3" s="6" t="s">
        <v>68</v>
      </c>
      <c r="X3" s="6"/>
      <c r="Y3" s="6" t="s">
        <v>68</v>
      </c>
      <c r="Z3" s="6"/>
      <c r="AA3" s="6"/>
      <c r="AB3" s="6" t="s">
        <v>68</v>
      </c>
      <c r="AC3" s="5" t="s">
        <v>81</v>
      </c>
      <c r="AD3" s="5" t="s">
        <v>70</v>
      </c>
      <c r="AE3" s="5" t="s">
        <v>71</v>
      </c>
      <c r="AF3" s="5" t="s">
        <v>72</v>
      </c>
      <c r="AG3" s="5" t="s">
        <v>82</v>
      </c>
      <c r="AH3" s="5" t="s">
        <v>83</v>
      </c>
    </row>
    <row r="4" customFormat="false" ht="91.5" hidden="false" customHeight="true" outlineLevel="0" collapsed="false">
      <c r="A4" s="5" t="n">
        <v>3</v>
      </c>
      <c r="B4" s="5" t="s">
        <v>84</v>
      </c>
      <c r="C4" s="5" t="s">
        <v>85</v>
      </c>
      <c r="D4" s="5" t="s">
        <v>86</v>
      </c>
      <c r="E4" s="5" t="s">
        <v>87</v>
      </c>
      <c r="F4" s="5" t="s">
        <v>88</v>
      </c>
      <c r="G4" s="5" t="s">
        <v>89</v>
      </c>
      <c r="H4" s="5" t="s">
        <v>90</v>
      </c>
      <c r="I4" s="5" t="s">
        <v>91</v>
      </c>
      <c r="J4" s="5" t="s">
        <v>92</v>
      </c>
      <c r="K4" s="5" t="s">
        <v>64</v>
      </c>
      <c r="L4" s="5" t="s">
        <v>93</v>
      </c>
      <c r="M4" s="5" t="s">
        <v>94</v>
      </c>
      <c r="N4" s="5" t="s">
        <v>95</v>
      </c>
      <c r="O4" s="5" t="s">
        <v>64</v>
      </c>
      <c r="P4" s="5" t="s">
        <v>96</v>
      </c>
      <c r="Q4" s="6"/>
      <c r="R4" s="6"/>
      <c r="S4" s="6"/>
      <c r="T4" s="6" t="s">
        <v>68</v>
      </c>
      <c r="U4" s="6"/>
      <c r="V4" s="6"/>
      <c r="W4" s="6" t="s">
        <v>68</v>
      </c>
      <c r="X4" s="6"/>
      <c r="Y4" s="6" t="s">
        <v>68</v>
      </c>
      <c r="Z4" s="6"/>
      <c r="AA4" s="6" t="s">
        <v>68</v>
      </c>
      <c r="AB4" s="6"/>
      <c r="AC4" s="5" t="s">
        <v>81</v>
      </c>
      <c r="AD4" s="5" t="s">
        <v>97</v>
      </c>
      <c r="AE4" s="5" t="s">
        <v>98</v>
      </c>
      <c r="AF4" s="5" t="s">
        <v>99</v>
      </c>
      <c r="AG4" s="5" t="s">
        <v>100</v>
      </c>
      <c r="AH4" s="5" t="s">
        <v>101</v>
      </c>
    </row>
    <row r="5" customFormat="false" ht="91.5" hidden="false" customHeight="true" outlineLevel="0" collapsed="false">
      <c r="A5" s="5" t="n">
        <v>4</v>
      </c>
      <c r="B5" s="5" t="s">
        <v>102</v>
      </c>
      <c r="C5" s="5" t="s">
        <v>103</v>
      </c>
      <c r="D5" s="5" t="s">
        <v>104</v>
      </c>
      <c r="E5" s="5" t="s">
        <v>105</v>
      </c>
      <c r="F5" s="5" t="s">
        <v>88</v>
      </c>
      <c r="G5" s="5" t="s">
        <v>106</v>
      </c>
      <c r="H5" s="5" t="s">
        <v>107</v>
      </c>
      <c r="I5" s="5" t="s">
        <v>108</v>
      </c>
      <c r="J5" s="5" t="s">
        <v>109</v>
      </c>
      <c r="K5" s="5" t="s">
        <v>110</v>
      </c>
      <c r="L5" s="5" t="s">
        <v>111</v>
      </c>
      <c r="M5" s="5" t="s">
        <v>112</v>
      </c>
      <c r="N5" s="5" t="s">
        <v>113</v>
      </c>
      <c r="O5" s="5" t="s">
        <v>64</v>
      </c>
      <c r="P5" s="5" t="s">
        <v>114</v>
      </c>
      <c r="Q5" s="6"/>
      <c r="R5" s="6"/>
      <c r="S5" s="6"/>
      <c r="T5" s="6" t="s">
        <v>68</v>
      </c>
      <c r="U5" s="6"/>
      <c r="V5" s="6"/>
      <c r="W5" s="6" t="s">
        <v>68</v>
      </c>
      <c r="X5" s="6"/>
      <c r="Y5" s="6"/>
      <c r="Z5" s="6"/>
      <c r="AA5" s="6" t="s">
        <v>68</v>
      </c>
      <c r="AB5" s="6" t="s">
        <v>68</v>
      </c>
      <c r="AC5" s="5" t="s">
        <v>81</v>
      </c>
      <c r="AD5" s="5" t="s">
        <v>115</v>
      </c>
      <c r="AE5" s="5" t="s">
        <v>116</v>
      </c>
      <c r="AF5" s="5" t="s">
        <v>117</v>
      </c>
      <c r="AG5" s="5" t="s">
        <v>118</v>
      </c>
      <c r="AH5" s="5" t="s">
        <v>119</v>
      </c>
    </row>
    <row r="6" customFormat="false" ht="91.5" hidden="false" customHeight="true" outlineLevel="0" collapsed="false">
      <c r="A6" s="5" t="n">
        <v>5</v>
      </c>
      <c r="B6" s="5" t="s">
        <v>120</v>
      </c>
      <c r="C6" s="5" t="s">
        <v>85</v>
      </c>
      <c r="D6" s="5" t="s">
        <v>121</v>
      </c>
      <c r="E6" s="5" t="s">
        <v>122</v>
      </c>
      <c r="F6" s="5" t="s">
        <v>88</v>
      </c>
      <c r="G6" s="5" t="s">
        <v>123</v>
      </c>
      <c r="H6" s="5" t="s">
        <v>124</v>
      </c>
      <c r="I6" s="5" t="s">
        <v>125</v>
      </c>
      <c r="J6" s="5" t="s">
        <v>126</v>
      </c>
      <c r="K6" s="5" t="s">
        <v>127</v>
      </c>
      <c r="L6" s="5" t="s">
        <v>128</v>
      </c>
      <c r="M6" s="5" t="s">
        <v>129</v>
      </c>
      <c r="N6" s="5" t="s">
        <v>130</v>
      </c>
      <c r="O6" s="5" t="s">
        <v>131</v>
      </c>
      <c r="P6" s="5" t="s">
        <v>132</v>
      </c>
      <c r="Q6" s="6" t="s">
        <v>68</v>
      </c>
      <c r="R6" s="6" t="s">
        <v>68</v>
      </c>
      <c r="S6" s="6" t="s">
        <v>68</v>
      </c>
      <c r="T6" s="6"/>
      <c r="U6" s="6"/>
      <c r="V6" s="6" t="s">
        <v>68</v>
      </c>
      <c r="W6" s="6" t="s">
        <v>68</v>
      </c>
      <c r="X6" s="6"/>
      <c r="Y6" s="6"/>
      <c r="Z6" s="6"/>
      <c r="AA6" s="6"/>
      <c r="AB6" s="6" t="s">
        <v>68</v>
      </c>
      <c r="AC6" s="5" t="s">
        <v>133</v>
      </c>
      <c r="AD6" s="5" t="s">
        <v>134</v>
      </c>
      <c r="AE6" s="5" t="s">
        <v>135</v>
      </c>
      <c r="AF6" s="5" t="s">
        <v>136</v>
      </c>
      <c r="AG6" s="5" t="s">
        <v>137</v>
      </c>
      <c r="AH6" s="5" t="s">
        <v>138</v>
      </c>
    </row>
    <row r="7" customFormat="false" ht="91.5" hidden="false" customHeight="true" outlineLevel="0" collapsed="false">
      <c r="A7" s="7" t="n">
        <v>6</v>
      </c>
      <c r="B7" s="7" t="s">
        <v>139</v>
      </c>
      <c r="C7" s="7" t="s">
        <v>85</v>
      </c>
      <c r="D7" s="7" t="s">
        <v>140</v>
      </c>
      <c r="E7" s="7" t="s">
        <v>141</v>
      </c>
      <c r="F7" s="7" t="s">
        <v>142</v>
      </c>
      <c r="G7" s="7" t="s">
        <v>143</v>
      </c>
      <c r="H7" s="7" t="s">
        <v>144</v>
      </c>
      <c r="I7" s="7" t="s">
        <v>145</v>
      </c>
      <c r="J7" s="7" t="s">
        <v>146</v>
      </c>
      <c r="K7" s="7" t="s">
        <v>147</v>
      </c>
      <c r="L7" s="7" t="s">
        <v>148</v>
      </c>
      <c r="M7" s="7" t="s">
        <v>149</v>
      </c>
      <c r="N7" s="7" t="s">
        <v>150</v>
      </c>
      <c r="O7" s="7" t="s">
        <v>64</v>
      </c>
      <c r="P7" s="7" t="s">
        <v>151</v>
      </c>
      <c r="Q7" s="8" t="s">
        <v>68</v>
      </c>
      <c r="R7" s="8"/>
      <c r="S7" s="8"/>
      <c r="T7" s="8" t="s">
        <v>68</v>
      </c>
      <c r="U7" s="8"/>
      <c r="V7" s="8"/>
      <c r="W7" s="8"/>
      <c r="X7" s="8" t="s">
        <v>68</v>
      </c>
      <c r="Y7" s="8"/>
      <c r="Z7" s="8"/>
      <c r="AA7" s="8" t="s">
        <v>68</v>
      </c>
      <c r="AB7" s="8" t="s">
        <v>68</v>
      </c>
      <c r="AC7" s="7" t="s">
        <v>81</v>
      </c>
      <c r="AD7" s="7" t="s">
        <v>70</v>
      </c>
      <c r="AE7" s="7" t="s">
        <v>152</v>
      </c>
      <c r="AF7" s="7" t="s">
        <v>153</v>
      </c>
      <c r="AG7" s="7" t="s">
        <v>154</v>
      </c>
      <c r="AH7" s="7" t="s">
        <v>155</v>
      </c>
    </row>
    <row r="8" customFormat="false" ht="91.5" hidden="false" customHeight="true" outlineLevel="0" collapsed="false">
      <c r="A8" s="7" t="n">
        <v>7</v>
      </c>
      <c r="B8" s="7" t="s">
        <v>156</v>
      </c>
      <c r="C8" s="7" t="s">
        <v>157</v>
      </c>
      <c r="D8" s="7" t="s">
        <v>158</v>
      </c>
      <c r="E8" s="7" t="s">
        <v>159</v>
      </c>
      <c r="F8" s="7" t="s">
        <v>88</v>
      </c>
      <c r="G8" s="7" t="s">
        <v>160</v>
      </c>
      <c r="H8" s="7" t="s">
        <v>161</v>
      </c>
      <c r="I8" s="7" t="s">
        <v>162</v>
      </c>
      <c r="J8" s="7" t="s">
        <v>163</v>
      </c>
      <c r="K8" s="7" t="s">
        <v>164</v>
      </c>
      <c r="L8" s="7" t="s">
        <v>165</v>
      </c>
      <c r="M8" s="7" t="s">
        <v>166</v>
      </c>
      <c r="N8" s="7" t="s">
        <v>150</v>
      </c>
      <c r="O8" s="7" t="s">
        <v>64</v>
      </c>
      <c r="P8" s="7" t="s">
        <v>167</v>
      </c>
      <c r="Q8" s="8"/>
      <c r="R8" s="8" t="s">
        <v>68</v>
      </c>
      <c r="S8" s="8" t="s">
        <v>68</v>
      </c>
      <c r="T8" s="8"/>
      <c r="U8" s="8" t="s">
        <v>68</v>
      </c>
      <c r="V8" s="8" t="s">
        <v>68</v>
      </c>
      <c r="W8" s="8"/>
      <c r="X8" s="8" t="s">
        <v>68</v>
      </c>
      <c r="Y8" s="8"/>
      <c r="Z8" s="8"/>
      <c r="AA8" s="8"/>
      <c r="AB8" s="8" t="s">
        <v>68</v>
      </c>
      <c r="AC8" s="7" t="s">
        <v>69</v>
      </c>
      <c r="AD8" s="7" t="s">
        <v>168</v>
      </c>
      <c r="AE8" s="7" t="s">
        <v>169</v>
      </c>
      <c r="AF8" s="7" t="s">
        <v>170</v>
      </c>
      <c r="AG8" s="7" t="s">
        <v>171</v>
      </c>
      <c r="AH8" s="7" t="s">
        <v>172</v>
      </c>
    </row>
    <row r="9" customFormat="false" ht="91.5" hidden="false" customHeight="true" outlineLevel="0" collapsed="false">
      <c r="A9" s="5" t="n">
        <v>8</v>
      </c>
      <c r="B9" s="5" t="s">
        <v>173</v>
      </c>
      <c r="C9" s="5" t="s">
        <v>157</v>
      </c>
      <c r="D9" s="5" t="s">
        <v>174</v>
      </c>
      <c r="E9" s="5" t="s">
        <v>175</v>
      </c>
      <c r="F9" s="5" t="s">
        <v>88</v>
      </c>
      <c r="G9" s="5" t="s">
        <v>176</v>
      </c>
      <c r="H9" s="5" t="s">
        <v>177</v>
      </c>
      <c r="I9" s="5" t="s">
        <v>178</v>
      </c>
      <c r="J9" s="5" t="s">
        <v>179</v>
      </c>
      <c r="K9" s="5" t="s">
        <v>64</v>
      </c>
      <c r="L9" s="5" t="s">
        <v>180</v>
      </c>
      <c r="M9" s="5" t="s">
        <v>181</v>
      </c>
      <c r="N9" s="5" t="s">
        <v>150</v>
      </c>
      <c r="O9" s="5" t="s">
        <v>64</v>
      </c>
      <c r="P9" s="5" t="s">
        <v>167</v>
      </c>
      <c r="Q9" s="6"/>
      <c r="R9" s="6" t="s">
        <v>68</v>
      </c>
      <c r="S9" s="6" t="s">
        <v>68</v>
      </c>
      <c r="T9" s="6" t="s">
        <v>68</v>
      </c>
      <c r="U9" s="6"/>
      <c r="V9" s="6"/>
      <c r="W9" s="6"/>
      <c r="X9" s="6" t="s">
        <v>68</v>
      </c>
      <c r="Y9" s="6"/>
      <c r="Z9" s="6"/>
      <c r="AA9" s="6"/>
      <c r="AB9" s="6" t="s">
        <v>68</v>
      </c>
      <c r="AC9" s="5" t="s">
        <v>81</v>
      </c>
      <c r="AD9" s="5" t="s">
        <v>182</v>
      </c>
      <c r="AE9" s="5" t="s">
        <v>183</v>
      </c>
      <c r="AF9" s="5" t="s">
        <v>184</v>
      </c>
      <c r="AG9" s="5" t="s">
        <v>185</v>
      </c>
      <c r="AH9" s="5" t="s">
        <v>186</v>
      </c>
    </row>
    <row r="10" customFormat="false" ht="91.5" hidden="false" customHeight="true" outlineLevel="0" collapsed="false">
      <c r="A10" s="7" t="n">
        <v>9</v>
      </c>
      <c r="B10" s="7" t="s">
        <v>187</v>
      </c>
      <c r="C10" s="7" t="s">
        <v>188</v>
      </c>
      <c r="D10" s="7" t="s">
        <v>189</v>
      </c>
      <c r="E10" s="7" t="s">
        <v>190</v>
      </c>
      <c r="F10" s="7" t="s">
        <v>142</v>
      </c>
      <c r="G10" s="7" t="s">
        <v>191</v>
      </c>
      <c r="H10" s="7" t="s">
        <v>192</v>
      </c>
      <c r="I10" s="7" t="s">
        <v>193</v>
      </c>
      <c r="J10" s="7" t="s">
        <v>194</v>
      </c>
      <c r="K10" s="7" t="s">
        <v>195</v>
      </c>
      <c r="L10" s="7" t="s">
        <v>196</v>
      </c>
      <c r="M10" s="7" t="s">
        <v>149</v>
      </c>
      <c r="N10" s="7" t="s">
        <v>197</v>
      </c>
      <c r="O10" s="7" t="s">
        <v>198</v>
      </c>
      <c r="P10" s="7" t="s">
        <v>199</v>
      </c>
      <c r="Q10" s="8" t="s">
        <v>68</v>
      </c>
      <c r="R10" s="8" t="s">
        <v>68</v>
      </c>
      <c r="S10" s="8"/>
      <c r="T10" s="8"/>
      <c r="U10" s="8"/>
      <c r="V10" s="8"/>
      <c r="W10" s="8"/>
      <c r="X10" s="8"/>
      <c r="Y10" s="8"/>
      <c r="Z10" s="8" t="s">
        <v>68</v>
      </c>
      <c r="AA10" s="8" t="s">
        <v>68</v>
      </c>
      <c r="AB10" s="8"/>
      <c r="AC10" s="7" t="s">
        <v>69</v>
      </c>
      <c r="AD10" s="7" t="s">
        <v>70</v>
      </c>
      <c r="AE10" s="7" t="s">
        <v>200</v>
      </c>
      <c r="AF10" s="7" t="s">
        <v>201</v>
      </c>
      <c r="AG10" s="7" t="s">
        <v>202</v>
      </c>
      <c r="AH10" s="7" t="s">
        <v>203</v>
      </c>
    </row>
  </sheetData>
  <autoFilter ref="A1:AH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2"/>
    <col collapsed="false" customWidth="true" hidden="false" outlineLevel="0" max="4" min="4" style="0" width="34"/>
    <col collapsed="false" customWidth="true" hidden="false" outlineLevel="0" max="5" min="5" style="0" width="6"/>
    <col collapsed="false" customWidth="true" hidden="false" outlineLevel="0" max="6" min="6" style="0" width="18"/>
    <col collapsed="false" customWidth="true" hidden="false" outlineLevel="0" max="7" min="7" style="0" width="52"/>
    <col collapsed="false" customWidth="true" hidden="false" outlineLevel="0" max="8" min="8" style="0" width="46"/>
    <col collapsed="false" customWidth="true" hidden="false" outlineLevel="0" max="9" min="9" style="0" width="44"/>
    <col collapsed="false" customWidth="true" hidden="false" outlineLevel="0" max="10" min="10" style="0" width="40"/>
    <col collapsed="false" customWidth="true" hidden="false" outlineLevel="0" max="11" min="11" style="0" width="26"/>
    <col collapsed="false" customWidth="true" hidden="false" outlineLevel="0" max="12" min="12" style="0" width="38"/>
    <col collapsed="false" customWidth="true" hidden="false" outlineLevel="0" max="13" min="13" style="0" width="20"/>
    <col collapsed="false" customWidth="true" hidden="false" outlineLevel="0" max="14" min="14" style="0" width="32"/>
    <col collapsed="false" customWidth="true" hidden="false" outlineLevel="0" max="15" min="15" style="0" width="30"/>
    <col collapsed="false" customWidth="true" hidden="false" outlineLevel="0" max="16" min="16" style="0" width="20"/>
    <col collapsed="false" customWidth="true" hidden="false" outlineLevel="0" max="28" min="17" style="0" width="6"/>
    <col collapsed="false" customWidth="true" hidden="false" outlineLevel="0" max="29" min="29" style="0" width="22"/>
    <col collapsed="false" customWidth="true" hidden="false" outlineLevel="0" max="30" min="30" style="0" width="40"/>
    <col collapsed="false" customWidth="true" hidden="false" outlineLevel="0" max="31" min="31" style="0" width="16"/>
    <col collapsed="false" customWidth="true" hidden="false" outlineLevel="0" max="32" min="32" style="0" width="22"/>
    <col collapsed="false" customWidth="true" hidden="false" outlineLevel="0" max="33" min="33" style="0" width="30"/>
    <col collapsed="false" customWidth="true" hidden="false" outlineLevel="0" max="34" min="34" style="0" width="44"/>
  </cols>
  <sheetData>
    <row r="1" customFormat="false" ht="33.75" hidden="false" customHeight="true" outlineLevel="0" collapsed="false">
      <c r="A1" s="4" t="s">
        <v>25</v>
      </c>
      <c r="B1" s="4" t="s">
        <v>26</v>
      </c>
      <c r="C1" s="4" t="s">
        <v>27</v>
      </c>
      <c r="D1" s="4" t="s">
        <v>28</v>
      </c>
      <c r="E1" s="4" t="s">
        <v>29</v>
      </c>
      <c r="F1" s="4" t="s">
        <v>30</v>
      </c>
      <c r="G1" s="4" t="s">
        <v>31</v>
      </c>
      <c r="H1" s="4" t="s">
        <v>32</v>
      </c>
      <c r="I1" s="4" t="s">
        <v>33</v>
      </c>
      <c r="J1" s="4" t="s">
        <v>34</v>
      </c>
      <c r="K1" s="4" t="s">
        <v>35</v>
      </c>
      <c r="L1" s="4" t="s">
        <v>36</v>
      </c>
      <c r="M1" s="4" t="s">
        <v>37</v>
      </c>
      <c r="N1" s="4" t="s">
        <v>38</v>
      </c>
      <c r="O1" s="4" t="s">
        <v>39</v>
      </c>
      <c r="P1" s="4" t="s">
        <v>40</v>
      </c>
      <c r="Q1" s="4" t="s">
        <v>41</v>
      </c>
      <c r="R1" s="4" t="s">
        <v>42</v>
      </c>
      <c r="S1" s="4" t="s">
        <v>43</v>
      </c>
      <c r="T1" s="4" t="s">
        <v>44</v>
      </c>
      <c r="U1" s="4" t="s">
        <v>45</v>
      </c>
      <c r="V1" s="4" t="s">
        <v>46</v>
      </c>
      <c r="W1" s="4" t="s">
        <v>47</v>
      </c>
      <c r="X1" s="4" t="s">
        <v>48</v>
      </c>
      <c r="Y1" s="4" t="s">
        <v>49</v>
      </c>
      <c r="Z1" s="4" t="s">
        <v>50</v>
      </c>
      <c r="AA1" s="4" t="s">
        <v>51</v>
      </c>
      <c r="AB1" s="4" t="s">
        <v>52</v>
      </c>
      <c r="AC1" s="4" t="s">
        <v>53</v>
      </c>
      <c r="AD1" s="4" t="s">
        <v>54</v>
      </c>
      <c r="AE1" s="4" t="s">
        <v>11</v>
      </c>
      <c r="AF1" s="4" t="s">
        <v>55</v>
      </c>
      <c r="AG1" s="4" t="s">
        <v>56</v>
      </c>
      <c r="AH1" s="4" t="s">
        <v>57</v>
      </c>
    </row>
    <row r="2" customFormat="false" ht="91.5" hidden="false" customHeight="true" outlineLevel="0" collapsed="false">
      <c r="A2" s="5" t="n">
        <v>1</v>
      </c>
      <c r="B2" s="5" t="s">
        <v>75</v>
      </c>
      <c r="C2" s="5" t="s">
        <v>76</v>
      </c>
      <c r="D2" s="5" t="s">
        <v>204</v>
      </c>
      <c r="E2" s="5" t="s">
        <v>205</v>
      </c>
      <c r="F2" s="5" t="s">
        <v>62</v>
      </c>
      <c r="G2" s="5" t="s">
        <v>206</v>
      </c>
      <c r="H2" s="5" t="s">
        <v>80</v>
      </c>
      <c r="I2" s="5" t="s">
        <v>64</v>
      </c>
      <c r="J2" s="5" t="s">
        <v>65</v>
      </c>
      <c r="K2" s="5" t="s">
        <v>64</v>
      </c>
      <c r="L2" s="5" t="s">
        <v>64</v>
      </c>
      <c r="M2" s="5" t="s">
        <v>66</v>
      </c>
      <c r="N2" s="5" t="s">
        <v>64</v>
      </c>
      <c r="O2" s="5" t="s">
        <v>64</v>
      </c>
      <c r="P2" s="5" t="s">
        <v>67</v>
      </c>
      <c r="Q2" s="6"/>
      <c r="R2" s="6"/>
      <c r="S2" s="6"/>
      <c r="T2" s="6"/>
      <c r="U2" s="6"/>
      <c r="V2" s="6"/>
      <c r="W2" s="6"/>
      <c r="X2" s="6"/>
      <c r="Y2" s="6" t="s">
        <v>68</v>
      </c>
      <c r="Z2" s="6"/>
      <c r="AA2" s="6"/>
      <c r="AB2" s="6" t="s">
        <v>68</v>
      </c>
      <c r="AC2" s="5" t="s">
        <v>81</v>
      </c>
      <c r="AD2" s="5" t="s">
        <v>70</v>
      </c>
      <c r="AE2" s="5" t="s">
        <v>71</v>
      </c>
      <c r="AF2" s="5" t="s">
        <v>205</v>
      </c>
      <c r="AG2" s="5" t="s">
        <v>73</v>
      </c>
      <c r="AH2" s="5" t="s">
        <v>207</v>
      </c>
    </row>
    <row r="3" customFormat="false" ht="91.5" hidden="false" customHeight="true" outlineLevel="0" collapsed="false">
      <c r="A3" s="5" t="n">
        <v>2</v>
      </c>
      <c r="B3" s="5" t="s">
        <v>208</v>
      </c>
      <c r="C3" s="5" t="s">
        <v>209</v>
      </c>
      <c r="D3" s="5" t="s">
        <v>210</v>
      </c>
      <c r="E3" s="5" t="s">
        <v>205</v>
      </c>
      <c r="F3" s="5" t="s">
        <v>211</v>
      </c>
      <c r="G3" s="5" t="s">
        <v>212</v>
      </c>
      <c r="H3" s="5" t="s">
        <v>64</v>
      </c>
      <c r="I3" s="5" t="s">
        <v>64</v>
      </c>
      <c r="J3" s="5" t="s">
        <v>65</v>
      </c>
      <c r="K3" s="5" t="s">
        <v>64</v>
      </c>
      <c r="L3" s="5" t="s">
        <v>64</v>
      </c>
      <c r="M3" s="5" t="s">
        <v>66</v>
      </c>
      <c r="N3" s="5" t="s">
        <v>64</v>
      </c>
      <c r="O3" s="5" t="s">
        <v>64</v>
      </c>
      <c r="P3" s="5" t="s">
        <v>213</v>
      </c>
      <c r="Q3" s="6"/>
      <c r="R3" s="6"/>
      <c r="S3" s="6"/>
      <c r="T3" s="6"/>
      <c r="U3" s="6"/>
      <c r="V3" s="6"/>
      <c r="W3" s="6"/>
      <c r="X3" s="6" t="s">
        <v>68</v>
      </c>
      <c r="Y3" s="6"/>
      <c r="Z3" s="6"/>
      <c r="AA3" s="6"/>
      <c r="AB3" s="6"/>
      <c r="AC3" s="5" t="s">
        <v>205</v>
      </c>
      <c r="AD3" s="5" t="s">
        <v>70</v>
      </c>
      <c r="AE3" s="5" t="s">
        <v>214</v>
      </c>
      <c r="AF3" s="5" t="s">
        <v>205</v>
      </c>
      <c r="AG3" s="5" t="s">
        <v>215</v>
      </c>
      <c r="AH3" s="5" t="s">
        <v>216</v>
      </c>
    </row>
    <row r="4" customFormat="false" ht="91.5" hidden="false" customHeight="true" outlineLevel="0" collapsed="false">
      <c r="A4" s="5" t="n">
        <v>3</v>
      </c>
      <c r="B4" s="5" t="s">
        <v>217</v>
      </c>
      <c r="C4" s="5" t="s">
        <v>85</v>
      </c>
      <c r="D4" s="5" t="s">
        <v>218</v>
      </c>
      <c r="E4" s="5" t="s">
        <v>219</v>
      </c>
      <c r="F4" s="5" t="s">
        <v>88</v>
      </c>
      <c r="G4" s="5" t="s">
        <v>220</v>
      </c>
      <c r="H4" s="5" t="s">
        <v>221</v>
      </c>
      <c r="I4" s="5" t="s">
        <v>222</v>
      </c>
      <c r="J4" s="5" t="s">
        <v>223</v>
      </c>
      <c r="K4" s="5" t="s">
        <v>64</v>
      </c>
      <c r="L4" s="5" t="s">
        <v>224</v>
      </c>
      <c r="M4" s="5" t="s">
        <v>94</v>
      </c>
      <c r="N4" s="5" t="s">
        <v>225</v>
      </c>
      <c r="O4" s="5" t="s">
        <v>226</v>
      </c>
      <c r="P4" s="5" t="s">
        <v>67</v>
      </c>
      <c r="Q4" s="6"/>
      <c r="R4" s="6"/>
      <c r="S4" s="6"/>
      <c r="T4" s="6" t="s">
        <v>68</v>
      </c>
      <c r="U4" s="6"/>
      <c r="V4" s="6"/>
      <c r="W4" s="6" t="s">
        <v>68</v>
      </c>
      <c r="X4" s="6"/>
      <c r="Y4" s="6"/>
      <c r="Z4" s="6"/>
      <c r="AA4" s="6"/>
      <c r="AB4" s="6" t="s">
        <v>68</v>
      </c>
      <c r="AC4" s="5" t="s">
        <v>81</v>
      </c>
      <c r="AD4" s="5" t="s">
        <v>70</v>
      </c>
      <c r="AE4" s="5" t="s">
        <v>116</v>
      </c>
      <c r="AF4" s="5" t="s">
        <v>227</v>
      </c>
      <c r="AG4" s="5" t="s">
        <v>228</v>
      </c>
      <c r="AH4" s="5" t="s">
        <v>229</v>
      </c>
    </row>
    <row r="5" customFormat="false" ht="91.5" hidden="false" customHeight="true" outlineLevel="0" collapsed="false">
      <c r="A5" s="5" t="n">
        <v>4</v>
      </c>
      <c r="B5" s="5" t="s">
        <v>230</v>
      </c>
      <c r="C5" s="5" t="s">
        <v>157</v>
      </c>
      <c r="D5" s="5" t="s">
        <v>231</v>
      </c>
      <c r="E5" s="5" t="s">
        <v>232</v>
      </c>
      <c r="F5" s="5" t="s">
        <v>88</v>
      </c>
      <c r="G5" s="5" t="s">
        <v>233</v>
      </c>
      <c r="H5" s="5" t="s">
        <v>234</v>
      </c>
      <c r="I5" s="5" t="s">
        <v>235</v>
      </c>
      <c r="J5" s="5" t="s">
        <v>236</v>
      </c>
      <c r="K5" s="5" t="s">
        <v>64</v>
      </c>
      <c r="L5" s="5" t="s">
        <v>237</v>
      </c>
      <c r="M5" s="5" t="s">
        <v>238</v>
      </c>
      <c r="N5" s="5" t="s">
        <v>150</v>
      </c>
      <c r="O5" s="5" t="s">
        <v>64</v>
      </c>
      <c r="P5" s="5" t="s">
        <v>67</v>
      </c>
      <c r="Q5" s="6" t="s">
        <v>68</v>
      </c>
      <c r="R5" s="6" t="s">
        <v>68</v>
      </c>
      <c r="S5" s="6" t="s">
        <v>68</v>
      </c>
      <c r="T5" s="6"/>
      <c r="U5" s="6" t="s">
        <v>68</v>
      </c>
      <c r="V5" s="6"/>
      <c r="W5" s="6"/>
      <c r="X5" s="6"/>
      <c r="Y5" s="6"/>
      <c r="Z5" s="6"/>
      <c r="AA5" s="6"/>
      <c r="AB5" s="6" t="s">
        <v>68</v>
      </c>
      <c r="AC5" s="5" t="s">
        <v>81</v>
      </c>
      <c r="AD5" s="5" t="s">
        <v>239</v>
      </c>
      <c r="AE5" s="5" t="s">
        <v>240</v>
      </c>
      <c r="AF5" s="5" t="s">
        <v>241</v>
      </c>
      <c r="AG5" s="5" t="s">
        <v>242</v>
      </c>
      <c r="AH5" s="5" t="s">
        <v>243</v>
      </c>
    </row>
    <row r="6" customFormat="false" ht="91.5" hidden="false" customHeight="true" outlineLevel="0" collapsed="false">
      <c r="A6" s="5" t="n">
        <v>5</v>
      </c>
      <c r="B6" s="5" t="s">
        <v>244</v>
      </c>
      <c r="C6" s="5" t="s">
        <v>157</v>
      </c>
      <c r="D6" s="5" t="s">
        <v>245</v>
      </c>
      <c r="E6" s="5" t="s">
        <v>246</v>
      </c>
      <c r="F6" s="5" t="s">
        <v>88</v>
      </c>
      <c r="G6" s="5" t="s">
        <v>247</v>
      </c>
      <c r="H6" s="5" t="s">
        <v>248</v>
      </c>
      <c r="I6" s="5" t="s">
        <v>249</v>
      </c>
      <c r="J6" s="5" t="s">
        <v>250</v>
      </c>
      <c r="K6" s="5" t="s">
        <v>64</v>
      </c>
      <c r="L6" s="5" t="s">
        <v>251</v>
      </c>
      <c r="M6" s="5" t="s">
        <v>252</v>
      </c>
      <c r="N6" s="5" t="s">
        <v>150</v>
      </c>
      <c r="O6" s="5" t="s">
        <v>64</v>
      </c>
      <c r="P6" s="5" t="s">
        <v>167</v>
      </c>
      <c r="Q6" s="6"/>
      <c r="R6" s="6" t="s">
        <v>68</v>
      </c>
      <c r="S6" s="6" t="s">
        <v>68</v>
      </c>
      <c r="T6" s="6"/>
      <c r="U6" s="6" t="s">
        <v>68</v>
      </c>
      <c r="V6" s="6"/>
      <c r="W6" s="6"/>
      <c r="X6" s="6"/>
      <c r="Y6" s="6"/>
      <c r="Z6" s="6"/>
      <c r="AA6" s="6"/>
      <c r="AB6" s="6" t="s">
        <v>68</v>
      </c>
      <c r="AC6" s="5" t="s">
        <v>81</v>
      </c>
      <c r="AD6" s="5" t="s">
        <v>253</v>
      </c>
      <c r="AE6" s="5" t="s">
        <v>254</v>
      </c>
      <c r="AF6" s="5" t="s">
        <v>255</v>
      </c>
      <c r="AG6" s="5" t="s">
        <v>256</v>
      </c>
      <c r="AH6" s="5" t="s">
        <v>257</v>
      </c>
    </row>
    <row r="7" customFormat="false" ht="91.5" hidden="false" customHeight="true" outlineLevel="0" collapsed="false">
      <c r="A7" s="5" t="n">
        <v>6</v>
      </c>
      <c r="B7" s="5" t="s">
        <v>258</v>
      </c>
      <c r="C7" s="5" t="s">
        <v>259</v>
      </c>
      <c r="D7" s="5" t="s">
        <v>260</v>
      </c>
      <c r="E7" s="5" t="s">
        <v>261</v>
      </c>
      <c r="F7" s="5" t="s">
        <v>88</v>
      </c>
      <c r="G7" s="5" t="s">
        <v>262</v>
      </c>
      <c r="H7" s="5" t="s">
        <v>263</v>
      </c>
      <c r="I7" s="5" t="s">
        <v>264</v>
      </c>
      <c r="J7" s="5" t="s">
        <v>265</v>
      </c>
      <c r="K7" s="5" t="s">
        <v>64</v>
      </c>
      <c r="L7" s="5" t="s">
        <v>266</v>
      </c>
      <c r="M7" s="5" t="s">
        <v>267</v>
      </c>
      <c r="N7" s="5" t="s">
        <v>268</v>
      </c>
      <c r="O7" s="5" t="s">
        <v>64</v>
      </c>
      <c r="P7" s="5" t="s">
        <v>199</v>
      </c>
      <c r="Q7" s="6" t="s">
        <v>68</v>
      </c>
      <c r="R7" s="6"/>
      <c r="S7" s="6" t="s">
        <v>68</v>
      </c>
      <c r="T7" s="6"/>
      <c r="U7" s="6"/>
      <c r="V7" s="6"/>
      <c r="W7" s="6"/>
      <c r="X7" s="6"/>
      <c r="Y7" s="6"/>
      <c r="Z7" s="6" t="s">
        <v>68</v>
      </c>
      <c r="AA7" s="6" t="s">
        <v>68</v>
      </c>
      <c r="AB7" s="6"/>
      <c r="AC7" s="5" t="s">
        <v>81</v>
      </c>
      <c r="AD7" s="5" t="s">
        <v>70</v>
      </c>
      <c r="AE7" s="5" t="s">
        <v>200</v>
      </c>
      <c r="AF7" s="5" t="s">
        <v>269</v>
      </c>
      <c r="AG7" s="5" t="s">
        <v>270</v>
      </c>
      <c r="AH7" s="5" t="s">
        <v>271</v>
      </c>
    </row>
    <row r="8" customFormat="false" ht="91.5" hidden="false" customHeight="true" outlineLevel="0" collapsed="false">
      <c r="A8" s="5" t="n">
        <v>7</v>
      </c>
      <c r="B8" s="5" t="s">
        <v>272</v>
      </c>
      <c r="C8" s="5" t="s">
        <v>85</v>
      </c>
      <c r="D8" s="5" t="s">
        <v>273</v>
      </c>
      <c r="E8" s="5" t="s">
        <v>274</v>
      </c>
      <c r="F8" s="5" t="s">
        <v>142</v>
      </c>
      <c r="G8" s="5" t="s">
        <v>275</v>
      </c>
      <c r="H8" s="5" t="s">
        <v>276</v>
      </c>
      <c r="I8" s="5" t="s">
        <v>277</v>
      </c>
      <c r="J8" s="5" t="s">
        <v>278</v>
      </c>
      <c r="K8" s="5" t="s">
        <v>279</v>
      </c>
      <c r="L8" s="5" t="s">
        <v>280</v>
      </c>
      <c r="M8" s="5" t="s">
        <v>281</v>
      </c>
      <c r="N8" s="5" t="s">
        <v>282</v>
      </c>
      <c r="O8" s="5" t="s">
        <v>283</v>
      </c>
      <c r="P8" s="5" t="s">
        <v>114</v>
      </c>
      <c r="Q8" s="6"/>
      <c r="R8" s="6"/>
      <c r="S8" s="6"/>
      <c r="T8" s="6" t="s">
        <v>68</v>
      </c>
      <c r="U8" s="6"/>
      <c r="V8" s="6"/>
      <c r="W8" s="6" t="s">
        <v>68</v>
      </c>
      <c r="X8" s="6"/>
      <c r="Y8" s="6"/>
      <c r="Z8" s="6"/>
      <c r="AA8" s="6" t="s">
        <v>68</v>
      </c>
      <c r="AB8" s="6" t="s">
        <v>68</v>
      </c>
      <c r="AC8" s="5" t="s">
        <v>81</v>
      </c>
      <c r="AD8" s="5" t="s">
        <v>284</v>
      </c>
      <c r="AE8" s="5" t="s">
        <v>285</v>
      </c>
      <c r="AF8" s="5" t="s">
        <v>286</v>
      </c>
      <c r="AG8" s="5" t="s">
        <v>287</v>
      </c>
      <c r="AH8" s="5" t="s">
        <v>288</v>
      </c>
    </row>
    <row r="9" customFormat="false" ht="91.5" hidden="false" customHeight="true" outlineLevel="0" collapsed="false">
      <c r="A9" s="5" t="n">
        <v>8</v>
      </c>
      <c r="B9" s="5" t="s">
        <v>289</v>
      </c>
      <c r="C9" s="5" t="s">
        <v>157</v>
      </c>
      <c r="D9" s="5" t="s">
        <v>290</v>
      </c>
      <c r="E9" s="5" t="s">
        <v>291</v>
      </c>
      <c r="F9" s="5" t="s">
        <v>88</v>
      </c>
      <c r="G9" s="5" t="s">
        <v>292</v>
      </c>
      <c r="H9" s="5" t="s">
        <v>293</v>
      </c>
      <c r="I9" s="5" t="s">
        <v>294</v>
      </c>
      <c r="J9" s="5" t="s">
        <v>295</v>
      </c>
      <c r="K9" s="5" t="s">
        <v>64</v>
      </c>
      <c r="L9" s="5" t="s">
        <v>296</v>
      </c>
      <c r="M9" s="5" t="s">
        <v>297</v>
      </c>
      <c r="N9" s="5" t="s">
        <v>298</v>
      </c>
      <c r="O9" s="5" t="s">
        <v>64</v>
      </c>
      <c r="P9" s="5" t="s">
        <v>299</v>
      </c>
      <c r="Q9" s="6" t="s">
        <v>68</v>
      </c>
      <c r="R9" s="6"/>
      <c r="S9" s="6"/>
      <c r="T9" s="6"/>
      <c r="U9" s="6"/>
      <c r="V9" s="6" t="s">
        <v>68</v>
      </c>
      <c r="W9" s="6"/>
      <c r="X9" s="6" t="s">
        <v>68</v>
      </c>
      <c r="Y9" s="6" t="s">
        <v>68</v>
      </c>
      <c r="Z9" s="6" t="s">
        <v>68</v>
      </c>
      <c r="AA9" s="6"/>
      <c r="AB9" s="6"/>
      <c r="AC9" s="5" t="s">
        <v>81</v>
      </c>
      <c r="AD9" s="5" t="s">
        <v>70</v>
      </c>
      <c r="AE9" s="5" t="s">
        <v>300</v>
      </c>
      <c r="AF9" s="5" t="s">
        <v>205</v>
      </c>
      <c r="AG9" s="5" t="s">
        <v>301</v>
      </c>
      <c r="AH9" s="5" t="s">
        <v>302</v>
      </c>
    </row>
    <row r="10" customFormat="false" ht="91.5" hidden="false" customHeight="true" outlineLevel="0" collapsed="false">
      <c r="A10" s="5" t="n">
        <v>9</v>
      </c>
      <c r="B10" s="5" t="s">
        <v>303</v>
      </c>
      <c r="C10" s="5" t="s">
        <v>157</v>
      </c>
      <c r="D10" s="5" t="s">
        <v>304</v>
      </c>
      <c r="E10" s="5" t="s">
        <v>305</v>
      </c>
      <c r="F10" s="5" t="s">
        <v>88</v>
      </c>
      <c r="G10" s="5" t="s">
        <v>306</v>
      </c>
      <c r="H10" s="5" t="s">
        <v>307</v>
      </c>
      <c r="I10" s="5" t="s">
        <v>308</v>
      </c>
      <c r="J10" s="5" t="s">
        <v>309</v>
      </c>
      <c r="K10" s="5" t="s">
        <v>310</v>
      </c>
      <c r="L10" s="5" t="s">
        <v>311</v>
      </c>
      <c r="M10" s="5" t="s">
        <v>312</v>
      </c>
      <c r="N10" s="5" t="s">
        <v>150</v>
      </c>
      <c r="O10" s="5" t="s">
        <v>64</v>
      </c>
      <c r="P10" s="5" t="s">
        <v>114</v>
      </c>
      <c r="Q10" s="6"/>
      <c r="R10" s="6" t="s">
        <v>68</v>
      </c>
      <c r="S10" s="6" t="s">
        <v>68</v>
      </c>
      <c r="T10" s="6"/>
      <c r="U10" s="6"/>
      <c r="V10" s="6" t="s">
        <v>68</v>
      </c>
      <c r="W10" s="6" t="s">
        <v>68</v>
      </c>
      <c r="X10" s="6"/>
      <c r="Y10" s="6"/>
      <c r="Z10" s="6"/>
      <c r="AA10" s="6"/>
      <c r="AB10" s="6" t="s">
        <v>68</v>
      </c>
      <c r="AC10" s="5" t="s">
        <v>81</v>
      </c>
      <c r="AD10" s="5" t="s">
        <v>313</v>
      </c>
      <c r="AE10" s="5" t="s">
        <v>314</v>
      </c>
      <c r="AF10" s="5" t="s">
        <v>315</v>
      </c>
      <c r="AG10" s="5" t="s">
        <v>316</v>
      </c>
      <c r="AH10" s="5" t="s">
        <v>317</v>
      </c>
    </row>
    <row r="11" customFormat="false" ht="91.5" hidden="false" customHeight="true" outlineLevel="0" collapsed="false">
      <c r="A11" s="5" t="n">
        <v>10</v>
      </c>
      <c r="B11" s="5" t="s">
        <v>318</v>
      </c>
      <c r="C11" s="5" t="s">
        <v>85</v>
      </c>
      <c r="D11" s="5" t="s">
        <v>319</v>
      </c>
      <c r="E11" s="5" t="s">
        <v>320</v>
      </c>
      <c r="F11" s="5" t="s">
        <v>142</v>
      </c>
      <c r="G11" s="5" t="s">
        <v>321</v>
      </c>
      <c r="H11" s="5" t="s">
        <v>322</v>
      </c>
      <c r="I11" s="5" t="s">
        <v>323</v>
      </c>
      <c r="J11" s="5" t="s">
        <v>324</v>
      </c>
      <c r="K11" s="5" t="s">
        <v>64</v>
      </c>
      <c r="L11" s="5" t="s">
        <v>325</v>
      </c>
      <c r="M11" s="5" t="s">
        <v>326</v>
      </c>
      <c r="N11" s="5" t="s">
        <v>150</v>
      </c>
      <c r="O11" s="5" t="s">
        <v>327</v>
      </c>
      <c r="P11" s="5" t="s">
        <v>328</v>
      </c>
      <c r="Q11" s="6" t="s">
        <v>68</v>
      </c>
      <c r="R11" s="6"/>
      <c r="S11" s="6" t="s">
        <v>68</v>
      </c>
      <c r="T11" s="6"/>
      <c r="U11" s="6" t="s">
        <v>68</v>
      </c>
      <c r="V11" s="6" t="s">
        <v>68</v>
      </c>
      <c r="W11" s="6"/>
      <c r="X11" s="6"/>
      <c r="Y11" s="6"/>
      <c r="Z11" s="6" t="s">
        <v>68</v>
      </c>
      <c r="AA11" s="6"/>
      <c r="AB11" s="6"/>
      <c r="AC11" s="5" t="s">
        <v>69</v>
      </c>
      <c r="AD11" s="5" t="s">
        <v>329</v>
      </c>
      <c r="AE11" s="5" t="s">
        <v>330</v>
      </c>
      <c r="AF11" s="5" t="s">
        <v>331</v>
      </c>
      <c r="AG11" s="5" t="s">
        <v>332</v>
      </c>
      <c r="AH11" s="5" t="s">
        <v>333</v>
      </c>
    </row>
  </sheetData>
  <autoFilter ref="A1:AH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2"/>
    <col collapsed="false" customWidth="true" hidden="false" outlineLevel="0" max="4" min="4" style="0" width="34"/>
    <col collapsed="false" customWidth="true" hidden="false" outlineLevel="0" max="5" min="5" style="0" width="6"/>
    <col collapsed="false" customWidth="true" hidden="false" outlineLevel="0" max="6" min="6" style="0" width="18"/>
    <col collapsed="false" customWidth="true" hidden="false" outlineLevel="0" max="7" min="7" style="0" width="52"/>
    <col collapsed="false" customWidth="true" hidden="false" outlineLevel="0" max="8" min="8" style="0" width="46"/>
    <col collapsed="false" customWidth="true" hidden="false" outlineLevel="0" max="9" min="9" style="0" width="44"/>
    <col collapsed="false" customWidth="true" hidden="false" outlineLevel="0" max="10" min="10" style="0" width="40"/>
    <col collapsed="false" customWidth="true" hidden="false" outlineLevel="0" max="11" min="11" style="0" width="26"/>
    <col collapsed="false" customWidth="true" hidden="false" outlineLevel="0" max="12" min="12" style="0" width="38"/>
    <col collapsed="false" customWidth="true" hidden="false" outlineLevel="0" max="13" min="13" style="0" width="20"/>
    <col collapsed="false" customWidth="true" hidden="false" outlineLevel="0" max="14" min="14" style="0" width="32"/>
    <col collapsed="false" customWidth="true" hidden="false" outlineLevel="0" max="15" min="15" style="0" width="30"/>
    <col collapsed="false" customWidth="true" hidden="false" outlineLevel="0" max="16" min="16" style="0" width="20"/>
    <col collapsed="false" customWidth="true" hidden="false" outlineLevel="0" max="28" min="17" style="0" width="6"/>
    <col collapsed="false" customWidth="true" hidden="false" outlineLevel="0" max="29" min="29" style="0" width="22"/>
    <col collapsed="false" customWidth="true" hidden="false" outlineLevel="0" max="30" min="30" style="0" width="40"/>
    <col collapsed="false" customWidth="true" hidden="false" outlineLevel="0" max="31" min="31" style="0" width="16"/>
    <col collapsed="false" customWidth="true" hidden="false" outlineLevel="0" max="32" min="32" style="0" width="22"/>
    <col collapsed="false" customWidth="true" hidden="false" outlineLevel="0" max="33" min="33" style="0" width="30"/>
    <col collapsed="false" customWidth="true" hidden="false" outlineLevel="0" max="34" min="34" style="0" width="44"/>
  </cols>
  <sheetData>
    <row r="1" customFormat="false" ht="33.75" hidden="false" customHeight="true" outlineLevel="0" collapsed="false">
      <c r="A1" s="4" t="s">
        <v>25</v>
      </c>
      <c r="B1" s="4" t="s">
        <v>26</v>
      </c>
      <c r="C1" s="4" t="s">
        <v>27</v>
      </c>
      <c r="D1" s="4" t="s">
        <v>28</v>
      </c>
      <c r="E1" s="4" t="s">
        <v>29</v>
      </c>
      <c r="F1" s="4" t="s">
        <v>30</v>
      </c>
      <c r="G1" s="4" t="s">
        <v>31</v>
      </c>
      <c r="H1" s="4" t="s">
        <v>32</v>
      </c>
      <c r="I1" s="4" t="s">
        <v>33</v>
      </c>
      <c r="J1" s="4" t="s">
        <v>34</v>
      </c>
      <c r="K1" s="4" t="s">
        <v>35</v>
      </c>
      <c r="L1" s="4" t="s">
        <v>36</v>
      </c>
      <c r="M1" s="4" t="s">
        <v>37</v>
      </c>
      <c r="N1" s="4" t="s">
        <v>38</v>
      </c>
      <c r="O1" s="4" t="s">
        <v>39</v>
      </c>
      <c r="P1" s="4" t="s">
        <v>40</v>
      </c>
      <c r="Q1" s="4" t="s">
        <v>41</v>
      </c>
      <c r="R1" s="4" t="s">
        <v>42</v>
      </c>
      <c r="S1" s="4" t="s">
        <v>43</v>
      </c>
      <c r="T1" s="4" t="s">
        <v>44</v>
      </c>
      <c r="U1" s="4" t="s">
        <v>45</v>
      </c>
      <c r="V1" s="4" t="s">
        <v>46</v>
      </c>
      <c r="W1" s="4" t="s">
        <v>47</v>
      </c>
      <c r="X1" s="4" t="s">
        <v>48</v>
      </c>
      <c r="Y1" s="4" t="s">
        <v>49</v>
      </c>
      <c r="Z1" s="4" t="s">
        <v>50</v>
      </c>
      <c r="AA1" s="4" t="s">
        <v>51</v>
      </c>
      <c r="AB1" s="4" t="s">
        <v>52</v>
      </c>
      <c r="AC1" s="4" t="s">
        <v>53</v>
      </c>
      <c r="AD1" s="4" t="s">
        <v>54</v>
      </c>
      <c r="AE1" s="4" t="s">
        <v>11</v>
      </c>
      <c r="AF1" s="4" t="s">
        <v>55</v>
      </c>
      <c r="AG1" s="4" t="s">
        <v>56</v>
      </c>
      <c r="AH1" s="4" t="s">
        <v>57</v>
      </c>
    </row>
    <row r="2" customFormat="false" ht="91.5" hidden="false" customHeight="true" outlineLevel="0" collapsed="false">
      <c r="A2" s="5" t="n">
        <v>1</v>
      </c>
      <c r="B2" s="5" t="s">
        <v>334</v>
      </c>
      <c r="C2" s="5" t="s">
        <v>335</v>
      </c>
      <c r="D2" s="5" t="s">
        <v>336</v>
      </c>
      <c r="E2" s="5" t="s">
        <v>337</v>
      </c>
      <c r="F2" s="5" t="s">
        <v>142</v>
      </c>
      <c r="G2" s="5" t="s">
        <v>338</v>
      </c>
      <c r="H2" s="5" t="s">
        <v>339</v>
      </c>
      <c r="I2" s="5" t="s">
        <v>340</v>
      </c>
      <c r="J2" s="5" t="s">
        <v>341</v>
      </c>
      <c r="K2" s="5" t="s">
        <v>342</v>
      </c>
      <c r="L2" s="5" t="s">
        <v>196</v>
      </c>
      <c r="M2" s="5" t="s">
        <v>149</v>
      </c>
      <c r="N2" s="5" t="s">
        <v>343</v>
      </c>
      <c r="O2" s="5" t="s">
        <v>344</v>
      </c>
      <c r="P2" s="5" t="s">
        <v>345</v>
      </c>
      <c r="Q2" s="6"/>
      <c r="R2" s="6" t="s">
        <v>68</v>
      </c>
      <c r="S2" s="6"/>
      <c r="T2" s="6" t="s">
        <v>68</v>
      </c>
      <c r="U2" s="6" t="s">
        <v>68</v>
      </c>
      <c r="V2" s="6"/>
      <c r="W2" s="6"/>
      <c r="X2" s="6"/>
      <c r="Y2" s="6"/>
      <c r="Z2" s="6"/>
      <c r="AA2" s="6"/>
      <c r="AB2" s="6" t="s">
        <v>68</v>
      </c>
      <c r="AC2" s="5" t="s">
        <v>69</v>
      </c>
      <c r="AD2" s="5" t="s">
        <v>346</v>
      </c>
      <c r="AE2" s="5" t="s">
        <v>347</v>
      </c>
      <c r="AF2" s="5" t="s">
        <v>348</v>
      </c>
      <c r="AG2" s="5" t="s">
        <v>349</v>
      </c>
      <c r="AH2" s="5" t="s">
        <v>350</v>
      </c>
    </row>
    <row r="3" customFormat="false" ht="91.5" hidden="false" customHeight="true" outlineLevel="0" collapsed="false">
      <c r="A3" s="5" t="n">
        <v>2</v>
      </c>
      <c r="B3" s="5" t="s">
        <v>351</v>
      </c>
      <c r="C3" s="5" t="s">
        <v>352</v>
      </c>
      <c r="D3" s="5" t="s">
        <v>353</v>
      </c>
      <c r="E3" s="5" t="s">
        <v>354</v>
      </c>
      <c r="F3" s="5" t="s">
        <v>88</v>
      </c>
      <c r="G3" s="5" t="s">
        <v>355</v>
      </c>
      <c r="H3" s="5" t="s">
        <v>356</v>
      </c>
      <c r="I3" s="5" t="s">
        <v>357</v>
      </c>
      <c r="J3" s="5" t="s">
        <v>358</v>
      </c>
      <c r="K3" s="5" t="s">
        <v>64</v>
      </c>
      <c r="L3" s="5" t="s">
        <v>359</v>
      </c>
      <c r="M3" s="5" t="s">
        <v>360</v>
      </c>
      <c r="N3" s="5" t="s">
        <v>361</v>
      </c>
      <c r="O3" s="5" t="s">
        <v>64</v>
      </c>
      <c r="P3" s="5" t="s">
        <v>151</v>
      </c>
      <c r="Q3" s="6" t="s">
        <v>68</v>
      </c>
      <c r="R3" s="6" t="s">
        <v>68</v>
      </c>
      <c r="S3" s="6"/>
      <c r="T3" s="6"/>
      <c r="U3" s="6"/>
      <c r="V3" s="6"/>
      <c r="W3" s="6"/>
      <c r="X3" s="6"/>
      <c r="Y3" s="6" t="s">
        <v>68</v>
      </c>
      <c r="Z3" s="6"/>
      <c r="AA3" s="6" t="s">
        <v>68</v>
      </c>
      <c r="AB3" s="6" t="s">
        <v>68</v>
      </c>
      <c r="AC3" s="5" t="s">
        <v>81</v>
      </c>
      <c r="AD3" s="5" t="s">
        <v>70</v>
      </c>
      <c r="AE3" s="5" t="s">
        <v>362</v>
      </c>
      <c r="AF3" s="5" t="s">
        <v>205</v>
      </c>
      <c r="AG3" s="5" t="s">
        <v>363</v>
      </c>
      <c r="AH3" s="5" t="s">
        <v>364</v>
      </c>
    </row>
    <row r="4" customFormat="false" ht="91.5" hidden="false" customHeight="true" outlineLevel="0" collapsed="false">
      <c r="A4" s="5" t="n">
        <v>3</v>
      </c>
      <c r="B4" s="5" t="s">
        <v>365</v>
      </c>
      <c r="C4" s="5" t="s">
        <v>157</v>
      </c>
      <c r="D4" s="5" t="s">
        <v>366</v>
      </c>
      <c r="E4" s="5" t="s">
        <v>367</v>
      </c>
      <c r="F4" s="5" t="s">
        <v>142</v>
      </c>
      <c r="G4" s="5" t="s">
        <v>368</v>
      </c>
      <c r="H4" s="5" t="s">
        <v>369</v>
      </c>
      <c r="I4" s="5" t="s">
        <v>370</v>
      </c>
      <c r="J4" s="5" t="s">
        <v>371</v>
      </c>
      <c r="K4" s="5" t="s">
        <v>372</v>
      </c>
      <c r="L4" s="5" t="s">
        <v>373</v>
      </c>
      <c r="M4" s="5" t="s">
        <v>297</v>
      </c>
      <c r="N4" s="5" t="s">
        <v>150</v>
      </c>
      <c r="O4" s="5" t="s">
        <v>64</v>
      </c>
      <c r="P4" s="5" t="s">
        <v>199</v>
      </c>
      <c r="Q4" s="6"/>
      <c r="R4" s="6" t="s">
        <v>68</v>
      </c>
      <c r="S4" s="6" t="s">
        <v>68</v>
      </c>
      <c r="T4" s="6"/>
      <c r="U4" s="6"/>
      <c r="V4" s="6"/>
      <c r="W4" s="6"/>
      <c r="X4" s="6"/>
      <c r="Y4" s="6"/>
      <c r="Z4" s="6" t="s">
        <v>68</v>
      </c>
      <c r="AA4" s="6"/>
      <c r="AB4" s="6"/>
      <c r="AC4" s="5" t="s">
        <v>81</v>
      </c>
      <c r="AD4" s="5" t="s">
        <v>70</v>
      </c>
      <c r="AE4" s="5" t="s">
        <v>374</v>
      </c>
      <c r="AF4" s="5" t="s">
        <v>375</v>
      </c>
      <c r="AG4" s="5" t="s">
        <v>376</v>
      </c>
      <c r="AH4" s="5" t="s">
        <v>377</v>
      </c>
    </row>
    <row r="5" customFormat="false" ht="91.5" hidden="false" customHeight="true" outlineLevel="0" collapsed="false">
      <c r="A5" s="5" t="n">
        <v>4</v>
      </c>
      <c r="B5" s="5" t="s">
        <v>378</v>
      </c>
      <c r="C5" s="5" t="s">
        <v>157</v>
      </c>
      <c r="D5" s="5" t="s">
        <v>379</v>
      </c>
      <c r="E5" s="5" t="s">
        <v>380</v>
      </c>
      <c r="F5" s="5" t="s">
        <v>88</v>
      </c>
      <c r="G5" s="5" t="s">
        <v>381</v>
      </c>
      <c r="H5" s="5" t="s">
        <v>382</v>
      </c>
      <c r="I5" s="5" t="s">
        <v>383</v>
      </c>
      <c r="J5" s="5" t="s">
        <v>384</v>
      </c>
      <c r="K5" s="5" t="s">
        <v>64</v>
      </c>
      <c r="L5" s="5" t="s">
        <v>385</v>
      </c>
      <c r="M5" s="5" t="s">
        <v>386</v>
      </c>
      <c r="N5" s="5" t="s">
        <v>387</v>
      </c>
      <c r="O5" s="5" t="s">
        <v>64</v>
      </c>
      <c r="P5" s="5" t="s">
        <v>388</v>
      </c>
      <c r="Q5" s="6" t="s">
        <v>68</v>
      </c>
      <c r="R5" s="6"/>
      <c r="S5" s="6"/>
      <c r="T5" s="6"/>
      <c r="U5" s="6"/>
      <c r="V5" s="6" t="s">
        <v>68</v>
      </c>
      <c r="W5" s="6"/>
      <c r="X5" s="6"/>
      <c r="Y5" s="6" t="s">
        <v>68</v>
      </c>
      <c r="Z5" s="6" t="s">
        <v>68</v>
      </c>
      <c r="AA5" s="6" t="s">
        <v>68</v>
      </c>
      <c r="AB5" s="6"/>
      <c r="AC5" s="5" t="s">
        <v>69</v>
      </c>
      <c r="AD5" s="5" t="s">
        <v>70</v>
      </c>
      <c r="AE5" s="5" t="s">
        <v>389</v>
      </c>
      <c r="AF5" s="5" t="s">
        <v>390</v>
      </c>
      <c r="AG5" s="5" t="s">
        <v>391</v>
      </c>
      <c r="AH5" s="5" t="s">
        <v>392</v>
      </c>
    </row>
    <row r="6" customFormat="false" ht="91.5" hidden="false" customHeight="true" outlineLevel="0" collapsed="false">
      <c r="A6" s="5" t="n">
        <v>5</v>
      </c>
      <c r="B6" s="5" t="s">
        <v>393</v>
      </c>
      <c r="C6" s="5" t="s">
        <v>85</v>
      </c>
      <c r="D6" s="5" t="s">
        <v>394</v>
      </c>
      <c r="E6" s="5" t="s">
        <v>395</v>
      </c>
      <c r="F6" s="5" t="s">
        <v>142</v>
      </c>
      <c r="G6" s="5" t="s">
        <v>396</v>
      </c>
      <c r="H6" s="5" t="s">
        <v>397</v>
      </c>
      <c r="I6" s="5" t="s">
        <v>398</v>
      </c>
      <c r="J6" s="5" t="s">
        <v>399</v>
      </c>
      <c r="K6" s="5" t="s">
        <v>400</v>
      </c>
      <c r="L6" s="5" t="s">
        <v>401</v>
      </c>
      <c r="M6" s="5" t="s">
        <v>402</v>
      </c>
      <c r="N6" s="5" t="s">
        <v>403</v>
      </c>
      <c r="O6" s="5" t="s">
        <v>64</v>
      </c>
      <c r="P6" s="5" t="s">
        <v>404</v>
      </c>
      <c r="Q6" s="6"/>
      <c r="R6" s="6" t="s">
        <v>68</v>
      </c>
      <c r="S6" s="6"/>
      <c r="T6" s="6"/>
      <c r="U6" s="6"/>
      <c r="V6" s="6"/>
      <c r="W6" s="6" t="s">
        <v>68</v>
      </c>
      <c r="X6" s="6"/>
      <c r="Y6" s="6"/>
      <c r="Z6" s="6"/>
      <c r="AA6" s="6" t="s">
        <v>68</v>
      </c>
      <c r="AB6" s="6" t="s">
        <v>68</v>
      </c>
      <c r="AC6" s="5" t="s">
        <v>81</v>
      </c>
      <c r="AD6" s="5" t="s">
        <v>70</v>
      </c>
      <c r="AE6" s="5" t="s">
        <v>405</v>
      </c>
      <c r="AF6" s="5" t="s">
        <v>205</v>
      </c>
      <c r="AG6" s="5" t="s">
        <v>406</v>
      </c>
      <c r="AH6" s="5" t="s">
        <v>407</v>
      </c>
    </row>
    <row r="7" customFormat="false" ht="91.5" hidden="false" customHeight="true" outlineLevel="0" collapsed="false">
      <c r="A7" s="5" t="n">
        <v>6</v>
      </c>
      <c r="B7" s="5" t="s">
        <v>408</v>
      </c>
      <c r="C7" s="5" t="s">
        <v>85</v>
      </c>
      <c r="D7" s="5" t="s">
        <v>409</v>
      </c>
      <c r="E7" s="5" t="s">
        <v>410</v>
      </c>
      <c r="F7" s="5" t="s">
        <v>142</v>
      </c>
      <c r="G7" s="5" t="s">
        <v>411</v>
      </c>
      <c r="H7" s="5" t="s">
        <v>412</v>
      </c>
      <c r="I7" s="5" t="s">
        <v>413</v>
      </c>
      <c r="J7" s="5" t="s">
        <v>414</v>
      </c>
      <c r="K7" s="5" t="s">
        <v>415</v>
      </c>
      <c r="L7" s="5" t="s">
        <v>416</v>
      </c>
      <c r="M7" s="5" t="s">
        <v>297</v>
      </c>
      <c r="N7" s="5" t="s">
        <v>417</v>
      </c>
      <c r="O7" s="5" t="s">
        <v>418</v>
      </c>
      <c r="P7" s="5" t="s">
        <v>419</v>
      </c>
      <c r="Q7" s="6" t="s">
        <v>68</v>
      </c>
      <c r="R7" s="6"/>
      <c r="S7" s="6"/>
      <c r="T7" s="6" t="s">
        <v>68</v>
      </c>
      <c r="U7" s="6" t="s">
        <v>68</v>
      </c>
      <c r="V7" s="6"/>
      <c r="W7" s="6"/>
      <c r="X7" s="6"/>
      <c r="Y7" s="6"/>
      <c r="Z7" s="6"/>
      <c r="AA7" s="6" t="s">
        <v>68</v>
      </c>
      <c r="AB7" s="6"/>
      <c r="AC7" s="5" t="s">
        <v>81</v>
      </c>
      <c r="AD7" s="5" t="s">
        <v>70</v>
      </c>
      <c r="AE7" s="5" t="s">
        <v>420</v>
      </c>
      <c r="AF7" s="5" t="s">
        <v>421</v>
      </c>
      <c r="AG7" s="5" t="s">
        <v>422</v>
      </c>
      <c r="AH7" s="5" t="s">
        <v>423</v>
      </c>
    </row>
    <row r="8" customFormat="false" ht="91.5" hidden="false" customHeight="true" outlineLevel="0" collapsed="false">
      <c r="A8" s="5" t="n">
        <v>7</v>
      </c>
      <c r="B8" s="5" t="s">
        <v>424</v>
      </c>
      <c r="C8" s="5" t="s">
        <v>157</v>
      </c>
      <c r="D8" s="5" t="s">
        <v>425</v>
      </c>
      <c r="E8" s="5" t="s">
        <v>426</v>
      </c>
      <c r="F8" s="5" t="s">
        <v>88</v>
      </c>
      <c r="G8" s="5" t="s">
        <v>427</v>
      </c>
      <c r="H8" s="5" t="s">
        <v>428</v>
      </c>
      <c r="I8" s="5" t="s">
        <v>429</v>
      </c>
      <c r="J8" s="5" t="s">
        <v>430</v>
      </c>
      <c r="K8" s="5" t="s">
        <v>431</v>
      </c>
      <c r="L8" s="5" t="s">
        <v>432</v>
      </c>
      <c r="M8" s="5" t="s">
        <v>433</v>
      </c>
      <c r="N8" s="5" t="s">
        <v>434</v>
      </c>
      <c r="O8" s="5" t="s">
        <v>64</v>
      </c>
      <c r="P8" s="5" t="s">
        <v>167</v>
      </c>
      <c r="Q8" s="6"/>
      <c r="R8" s="6"/>
      <c r="S8" s="6" t="s">
        <v>68</v>
      </c>
      <c r="T8" s="6"/>
      <c r="U8" s="6"/>
      <c r="V8" s="6"/>
      <c r="W8" s="6" t="s">
        <v>68</v>
      </c>
      <c r="X8" s="6"/>
      <c r="Y8" s="6"/>
      <c r="Z8" s="6"/>
      <c r="AA8" s="6" t="s">
        <v>68</v>
      </c>
      <c r="AB8" s="6" t="s">
        <v>68</v>
      </c>
      <c r="AC8" s="5" t="s">
        <v>133</v>
      </c>
      <c r="AD8" s="5" t="s">
        <v>435</v>
      </c>
      <c r="AE8" s="5" t="s">
        <v>436</v>
      </c>
      <c r="AF8" s="5" t="s">
        <v>205</v>
      </c>
      <c r="AG8" s="5" t="s">
        <v>437</v>
      </c>
      <c r="AH8" s="5" t="s">
        <v>438</v>
      </c>
    </row>
    <row r="9" customFormat="false" ht="91.5" hidden="false" customHeight="true" outlineLevel="0" collapsed="false">
      <c r="A9" s="5" t="n">
        <v>8</v>
      </c>
      <c r="B9" s="5" t="s">
        <v>439</v>
      </c>
      <c r="C9" s="5" t="s">
        <v>157</v>
      </c>
      <c r="D9" s="5" t="s">
        <v>440</v>
      </c>
      <c r="E9" s="5" t="s">
        <v>441</v>
      </c>
      <c r="F9" s="5" t="s">
        <v>442</v>
      </c>
      <c r="G9" s="5" t="s">
        <v>443</v>
      </c>
      <c r="H9" s="5" t="s">
        <v>444</v>
      </c>
      <c r="I9" s="5" t="s">
        <v>445</v>
      </c>
      <c r="J9" s="5" t="s">
        <v>446</v>
      </c>
      <c r="K9" s="5" t="s">
        <v>64</v>
      </c>
      <c r="L9" s="5" t="s">
        <v>447</v>
      </c>
      <c r="M9" s="5" t="s">
        <v>267</v>
      </c>
      <c r="N9" s="5" t="s">
        <v>150</v>
      </c>
      <c r="O9" s="5" t="s">
        <v>64</v>
      </c>
      <c r="P9" s="5" t="s">
        <v>213</v>
      </c>
      <c r="Q9" s="6" t="s">
        <v>68</v>
      </c>
      <c r="R9" s="6"/>
      <c r="S9" s="6"/>
      <c r="T9" s="6" t="s">
        <v>68</v>
      </c>
      <c r="U9" s="6"/>
      <c r="V9" s="6"/>
      <c r="W9" s="6"/>
      <c r="X9" s="6" t="s">
        <v>68</v>
      </c>
      <c r="Y9" s="6"/>
      <c r="Z9" s="6"/>
      <c r="AA9" s="6"/>
      <c r="AB9" s="6"/>
      <c r="AC9" s="5" t="s">
        <v>81</v>
      </c>
      <c r="AD9" s="5" t="s">
        <v>70</v>
      </c>
      <c r="AE9" s="5" t="s">
        <v>448</v>
      </c>
      <c r="AF9" s="5" t="s">
        <v>449</v>
      </c>
      <c r="AG9" s="5" t="s">
        <v>450</v>
      </c>
      <c r="AH9" s="5" t="s">
        <v>451</v>
      </c>
    </row>
    <row r="10" customFormat="false" ht="91.5" hidden="false" customHeight="true" outlineLevel="0" collapsed="false">
      <c r="A10" s="5" t="n">
        <v>9</v>
      </c>
      <c r="B10" s="5" t="s">
        <v>58</v>
      </c>
      <c r="C10" s="5" t="s">
        <v>59</v>
      </c>
      <c r="D10" s="5" t="s">
        <v>452</v>
      </c>
      <c r="E10" s="5" t="s">
        <v>453</v>
      </c>
      <c r="F10" s="5" t="s">
        <v>88</v>
      </c>
      <c r="G10" s="5" t="s">
        <v>454</v>
      </c>
      <c r="H10" s="5" t="s">
        <v>455</v>
      </c>
      <c r="I10" s="5" t="s">
        <v>456</v>
      </c>
      <c r="J10" s="5" t="s">
        <v>457</v>
      </c>
      <c r="K10" s="5" t="s">
        <v>64</v>
      </c>
      <c r="L10" s="5" t="s">
        <v>458</v>
      </c>
      <c r="M10" s="5" t="s">
        <v>459</v>
      </c>
      <c r="N10" s="5" t="s">
        <v>150</v>
      </c>
      <c r="O10" s="5" t="s">
        <v>460</v>
      </c>
      <c r="P10" s="5" t="s">
        <v>114</v>
      </c>
      <c r="Q10" s="6"/>
      <c r="R10" s="6"/>
      <c r="S10" s="6"/>
      <c r="T10" s="6"/>
      <c r="U10" s="6" t="s">
        <v>68</v>
      </c>
      <c r="V10" s="6"/>
      <c r="W10" s="6" t="s">
        <v>68</v>
      </c>
      <c r="X10" s="6"/>
      <c r="Y10" s="6"/>
      <c r="Z10" s="6"/>
      <c r="AA10" s="6" t="s">
        <v>68</v>
      </c>
      <c r="AB10" s="6" t="s">
        <v>68</v>
      </c>
      <c r="AC10" s="5" t="s">
        <v>81</v>
      </c>
      <c r="AD10" s="5" t="s">
        <v>461</v>
      </c>
      <c r="AE10" s="5" t="s">
        <v>462</v>
      </c>
      <c r="AF10" s="5" t="s">
        <v>463</v>
      </c>
      <c r="AG10" s="5" t="s">
        <v>464</v>
      </c>
      <c r="AH10" s="5" t="s">
        <v>465</v>
      </c>
    </row>
  </sheetData>
  <autoFilter ref="A1:AH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2"/>
    <col collapsed="false" customWidth="true" hidden="false" outlineLevel="0" max="4" min="4" style="0" width="34"/>
    <col collapsed="false" customWidth="true" hidden="false" outlineLevel="0" max="5" min="5" style="0" width="6"/>
    <col collapsed="false" customWidth="true" hidden="false" outlineLevel="0" max="6" min="6" style="0" width="18"/>
    <col collapsed="false" customWidth="true" hidden="false" outlineLevel="0" max="7" min="7" style="0" width="52"/>
    <col collapsed="false" customWidth="true" hidden="false" outlineLevel="0" max="8" min="8" style="0" width="46"/>
    <col collapsed="false" customWidth="true" hidden="false" outlineLevel="0" max="9" min="9" style="0" width="44"/>
    <col collapsed="false" customWidth="true" hidden="false" outlineLevel="0" max="10" min="10" style="0" width="40"/>
    <col collapsed="false" customWidth="true" hidden="false" outlineLevel="0" max="11" min="11" style="0" width="26"/>
    <col collapsed="false" customWidth="true" hidden="false" outlineLevel="0" max="12" min="12" style="0" width="38"/>
    <col collapsed="false" customWidth="true" hidden="false" outlineLevel="0" max="13" min="13" style="0" width="20"/>
    <col collapsed="false" customWidth="true" hidden="false" outlineLevel="0" max="14" min="14" style="0" width="32"/>
    <col collapsed="false" customWidth="true" hidden="false" outlineLevel="0" max="15" min="15" style="0" width="30"/>
    <col collapsed="false" customWidth="true" hidden="false" outlineLevel="0" max="16" min="16" style="0" width="20"/>
    <col collapsed="false" customWidth="true" hidden="false" outlineLevel="0" max="28" min="17" style="0" width="6"/>
    <col collapsed="false" customWidth="true" hidden="false" outlineLevel="0" max="29" min="29" style="0" width="22"/>
    <col collapsed="false" customWidth="true" hidden="false" outlineLevel="0" max="30" min="30" style="0" width="40"/>
    <col collapsed="false" customWidth="true" hidden="false" outlineLevel="0" max="31" min="31" style="0" width="16"/>
    <col collapsed="false" customWidth="true" hidden="false" outlineLevel="0" max="32" min="32" style="0" width="22"/>
    <col collapsed="false" customWidth="true" hidden="false" outlineLevel="0" max="33" min="33" style="0" width="30"/>
    <col collapsed="false" customWidth="true" hidden="false" outlineLevel="0" max="34" min="34" style="0" width="44"/>
  </cols>
  <sheetData>
    <row r="1" customFormat="false" ht="33.75" hidden="false" customHeight="true" outlineLevel="0" collapsed="false">
      <c r="A1" s="4" t="s">
        <v>25</v>
      </c>
      <c r="B1" s="4" t="s">
        <v>26</v>
      </c>
      <c r="C1" s="4" t="s">
        <v>27</v>
      </c>
      <c r="D1" s="4" t="s">
        <v>28</v>
      </c>
      <c r="E1" s="4" t="s">
        <v>29</v>
      </c>
      <c r="F1" s="4" t="s">
        <v>30</v>
      </c>
      <c r="G1" s="4" t="s">
        <v>31</v>
      </c>
      <c r="H1" s="4" t="s">
        <v>32</v>
      </c>
      <c r="I1" s="4" t="s">
        <v>33</v>
      </c>
      <c r="J1" s="4" t="s">
        <v>34</v>
      </c>
      <c r="K1" s="4" t="s">
        <v>35</v>
      </c>
      <c r="L1" s="4" t="s">
        <v>36</v>
      </c>
      <c r="M1" s="4" t="s">
        <v>37</v>
      </c>
      <c r="N1" s="4" t="s">
        <v>38</v>
      </c>
      <c r="O1" s="4" t="s">
        <v>39</v>
      </c>
      <c r="P1" s="4" t="s">
        <v>40</v>
      </c>
      <c r="Q1" s="4" t="s">
        <v>41</v>
      </c>
      <c r="R1" s="4" t="s">
        <v>42</v>
      </c>
      <c r="S1" s="4" t="s">
        <v>43</v>
      </c>
      <c r="T1" s="4" t="s">
        <v>44</v>
      </c>
      <c r="U1" s="4" t="s">
        <v>45</v>
      </c>
      <c r="V1" s="4" t="s">
        <v>46</v>
      </c>
      <c r="W1" s="4" t="s">
        <v>47</v>
      </c>
      <c r="X1" s="4" t="s">
        <v>48</v>
      </c>
      <c r="Y1" s="4" t="s">
        <v>49</v>
      </c>
      <c r="Z1" s="4" t="s">
        <v>50</v>
      </c>
      <c r="AA1" s="4" t="s">
        <v>51</v>
      </c>
      <c r="AB1" s="4" t="s">
        <v>52</v>
      </c>
      <c r="AC1" s="4" t="s">
        <v>53</v>
      </c>
      <c r="AD1" s="4" t="s">
        <v>54</v>
      </c>
      <c r="AE1" s="4" t="s">
        <v>11</v>
      </c>
      <c r="AF1" s="4" t="s">
        <v>55</v>
      </c>
      <c r="AG1" s="4" t="s">
        <v>56</v>
      </c>
      <c r="AH1" s="4" t="s">
        <v>57</v>
      </c>
    </row>
    <row r="2" customFormat="false" ht="91.5" hidden="false" customHeight="true" outlineLevel="0" collapsed="false">
      <c r="A2" s="5" t="n">
        <v>1</v>
      </c>
      <c r="B2" s="5" t="s">
        <v>75</v>
      </c>
      <c r="C2" s="5" t="s">
        <v>76</v>
      </c>
      <c r="D2" s="5" t="s">
        <v>466</v>
      </c>
      <c r="E2" s="5" t="s">
        <v>467</v>
      </c>
      <c r="F2" s="5" t="s">
        <v>142</v>
      </c>
      <c r="G2" s="5" t="s">
        <v>468</v>
      </c>
      <c r="H2" s="5" t="s">
        <v>469</v>
      </c>
      <c r="I2" s="5" t="s">
        <v>470</v>
      </c>
      <c r="J2" s="5" t="s">
        <v>471</v>
      </c>
      <c r="K2" s="5" t="s">
        <v>472</v>
      </c>
      <c r="L2" s="5" t="s">
        <v>473</v>
      </c>
      <c r="M2" s="5" t="s">
        <v>474</v>
      </c>
      <c r="N2" s="5" t="s">
        <v>475</v>
      </c>
      <c r="O2" s="5" t="s">
        <v>476</v>
      </c>
      <c r="P2" s="5" t="s">
        <v>477</v>
      </c>
      <c r="Q2" s="6"/>
      <c r="R2" s="6"/>
      <c r="S2" s="6"/>
      <c r="T2" s="6" t="s">
        <v>68</v>
      </c>
      <c r="U2" s="6" t="s">
        <v>68</v>
      </c>
      <c r="V2" s="6" t="s">
        <v>68</v>
      </c>
      <c r="W2" s="6"/>
      <c r="X2" s="6"/>
      <c r="Y2" s="6"/>
      <c r="Z2" s="6"/>
      <c r="AA2" s="6" t="s">
        <v>68</v>
      </c>
      <c r="AB2" s="6" t="s">
        <v>68</v>
      </c>
      <c r="AC2" s="5" t="s">
        <v>81</v>
      </c>
      <c r="AD2" s="5" t="s">
        <v>478</v>
      </c>
      <c r="AE2" s="5" t="s">
        <v>479</v>
      </c>
      <c r="AF2" s="5" t="s">
        <v>480</v>
      </c>
      <c r="AG2" s="5" t="s">
        <v>481</v>
      </c>
      <c r="AH2" s="5" t="s">
        <v>482</v>
      </c>
    </row>
    <row r="3" customFormat="false" ht="91.5" hidden="false" customHeight="true" outlineLevel="0" collapsed="false">
      <c r="A3" s="5" t="n">
        <v>2</v>
      </c>
      <c r="B3" s="5" t="s">
        <v>483</v>
      </c>
      <c r="C3" s="5" t="s">
        <v>157</v>
      </c>
      <c r="D3" s="5" t="s">
        <v>484</v>
      </c>
      <c r="E3" s="5" t="s">
        <v>485</v>
      </c>
      <c r="F3" s="5" t="s">
        <v>442</v>
      </c>
      <c r="G3" s="5" t="s">
        <v>486</v>
      </c>
      <c r="H3" s="5" t="s">
        <v>487</v>
      </c>
      <c r="I3" s="5" t="s">
        <v>488</v>
      </c>
      <c r="J3" s="5" t="s">
        <v>489</v>
      </c>
      <c r="K3" s="5" t="s">
        <v>64</v>
      </c>
      <c r="L3" s="5" t="s">
        <v>490</v>
      </c>
      <c r="M3" s="5" t="s">
        <v>491</v>
      </c>
      <c r="N3" s="5" t="s">
        <v>150</v>
      </c>
      <c r="O3" s="5" t="s">
        <v>64</v>
      </c>
      <c r="P3" s="5" t="s">
        <v>404</v>
      </c>
      <c r="Q3" s="6"/>
      <c r="R3" s="6" t="s">
        <v>68</v>
      </c>
      <c r="S3" s="6" t="s">
        <v>68</v>
      </c>
      <c r="T3" s="6"/>
      <c r="U3" s="6" t="s">
        <v>68</v>
      </c>
      <c r="V3" s="6"/>
      <c r="W3" s="6"/>
      <c r="X3" s="6"/>
      <c r="Y3" s="6"/>
      <c r="Z3" s="6" t="s">
        <v>68</v>
      </c>
      <c r="AA3" s="6"/>
      <c r="AB3" s="6"/>
      <c r="AC3" s="5" t="s">
        <v>492</v>
      </c>
      <c r="AD3" s="5" t="s">
        <v>70</v>
      </c>
      <c r="AE3" s="5" t="s">
        <v>374</v>
      </c>
      <c r="AF3" s="5" t="s">
        <v>493</v>
      </c>
      <c r="AG3" s="5" t="s">
        <v>494</v>
      </c>
      <c r="AH3" s="5" t="s">
        <v>495</v>
      </c>
    </row>
    <row r="4" customFormat="false" ht="91.5" hidden="false" customHeight="true" outlineLevel="0" collapsed="false">
      <c r="A4" s="5" t="n">
        <v>3</v>
      </c>
      <c r="B4" s="5" t="s">
        <v>496</v>
      </c>
      <c r="C4" s="5" t="s">
        <v>157</v>
      </c>
      <c r="D4" s="5" t="s">
        <v>497</v>
      </c>
      <c r="E4" s="5" t="s">
        <v>232</v>
      </c>
      <c r="F4" s="5" t="s">
        <v>442</v>
      </c>
      <c r="G4" s="5" t="s">
        <v>498</v>
      </c>
      <c r="H4" s="5" t="s">
        <v>499</v>
      </c>
      <c r="I4" s="5" t="s">
        <v>500</v>
      </c>
      <c r="J4" s="5" t="s">
        <v>501</v>
      </c>
      <c r="K4" s="5" t="s">
        <v>64</v>
      </c>
      <c r="L4" s="5" t="s">
        <v>502</v>
      </c>
      <c r="M4" s="5" t="s">
        <v>503</v>
      </c>
      <c r="N4" s="5" t="s">
        <v>150</v>
      </c>
      <c r="O4" s="5" t="s">
        <v>64</v>
      </c>
      <c r="P4" s="5" t="s">
        <v>167</v>
      </c>
      <c r="Q4" s="6"/>
      <c r="R4" s="6" t="s">
        <v>68</v>
      </c>
      <c r="S4" s="6" t="s">
        <v>68</v>
      </c>
      <c r="T4" s="6"/>
      <c r="U4" s="6"/>
      <c r="V4" s="6"/>
      <c r="W4" s="6"/>
      <c r="X4" s="6"/>
      <c r="Y4" s="6" t="s">
        <v>68</v>
      </c>
      <c r="Z4" s="6"/>
      <c r="AA4" s="6" t="s">
        <v>68</v>
      </c>
      <c r="AB4" s="6"/>
      <c r="AC4" s="5" t="s">
        <v>81</v>
      </c>
      <c r="AD4" s="5" t="s">
        <v>504</v>
      </c>
      <c r="AE4" s="5" t="s">
        <v>505</v>
      </c>
      <c r="AF4" s="5" t="s">
        <v>506</v>
      </c>
      <c r="AG4" s="5" t="s">
        <v>507</v>
      </c>
      <c r="AH4" s="5" t="s">
        <v>508</v>
      </c>
    </row>
    <row r="5" customFormat="false" ht="91.5" hidden="false" customHeight="true" outlineLevel="0" collapsed="false">
      <c r="A5" s="5" t="n">
        <v>4</v>
      </c>
      <c r="B5" s="5" t="s">
        <v>509</v>
      </c>
      <c r="C5" s="5" t="s">
        <v>510</v>
      </c>
      <c r="D5" s="5" t="s">
        <v>511</v>
      </c>
      <c r="E5" s="5" t="s">
        <v>512</v>
      </c>
      <c r="F5" s="5" t="s">
        <v>513</v>
      </c>
      <c r="G5" s="5" t="s">
        <v>514</v>
      </c>
      <c r="H5" s="5" t="s">
        <v>515</v>
      </c>
      <c r="I5" s="5" t="s">
        <v>516</v>
      </c>
      <c r="J5" s="5" t="s">
        <v>517</v>
      </c>
      <c r="K5" s="5" t="s">
        <v>518</v>
      </c>
      <c r="L5" s="5" t="s">
        <v>519</v>
      </c>
      <c r="M5" s="5" t="s">
        <v>520</v>
      </c>
      <c r="N5" s="5" t="s">
        <v>521</v>
      </c>
      <c r="O5" s="5" t="s">
        <v>64</v>
      </c>
      <c r="P5" s="5" t="s">
        <v>67</v>
      </c>
      <c r="Q5" s="6" t="s">
        <v>68</v>
      </c>
      <c r="R5" s="6"/>
      <c r="S5" s="6"/>
      <c r="T5" s="6" t="s">
        <v>68</v>
      </c>
      <c r="U5" s="6"/>
      <c r="V5" s="6"/>
      <c r="W5" s="6"/>
      <c r="X5" s="6"/>
      <c r="Y5" s="6" t="s">
        <v>68</v>
      </c>
      <c r="Z5" s="6"/>
      <c r="AA5" s="6"/>
      <c r="AB5" s="6" t="s">
        <v>68</v>
      </c>
      <c r="AC5" s="5" t="s">
        <v>81</v>
      </c>
      <c r="AD5" s="5" t="s">
        <v>522</v>
      </c>
      <c r="AE5" s="5" t="s">
        <v>523</v>
      </c>
      <c r="AF5" s="5" t="s">
        <v>524</v>
      </c>
      <c r="AG5" s="5" t="s">
        <v>525</v>
      </c>
      <c r="AH5" s="5" t="s">
        <v>526</v>
      </c>
    </row>
    <row r="6" customFormat="false" ht="91.5" hidden="false" customHeight="true" outlineLevel="0" collapsed="false">
      <c r="A6" s="5" t="n">
        <v>5</v>
      </c>
      <c r="B6" s="5" t="s">
        <v>527</v>
      </c>
      <c r="C6" s="5" t="s">
        <v>85</v>
      </c>
      <c r="D6" s="5" t="s">
        <v>528</v>
      </c>
      <c r="E6" s="5" t="s">
        <v>529</v>
      </c>
      <c r="F6" s="5" t="s">
        <v>88</v>
      </c>
      <c r="G6" s="5" t="s">
        <v>530</v>
      </c>
      <c r="H6" s="5" t="s">
        <v>531</v>
      </c>
      <c r="I6" s="5" t="s">
        <v>532</v>
      </c>
      <c r="J6" s="5" t="s">
        <v>533</v>
      </c>
      <c r="K6" s="5" t="s">
        <v>534</v>
      </c>
      <c r="L6" s="5" t="s">
        <v>535</v>
      </c>
      <c r="M6" s="5" t="s">
        <v>536</v>
      </c>
      <c r="N6" s="5" t="s">
        <v>537</v>
      </c>
      <c r="O6" s="5" t="s">
        <v>538</v>
      </c>
      <c r="P6" s="5" t="s">
        <v>114</v>
      </c>
      <c r="Q6" s="6"/>
      <c r="R6" s="6"/>
      <c r="S6" s="6"/>
      <c r="T6" s="6"/>
      <c r="U6" s="6"/>
      <c r="V6" s="6" t="s">
        <v>68</v>
      </c>
      <c r="W6" s="6" t="s">
        <v>68</v>
      </c>
      <c r="X6" s="6" t="s">
        <v>68</v>
      </c>
      <c r="Y6" s="6"/>
      <c r="Z6" s="6"/>
      <c r="AA6" s="6" t="s">
        <v>68</v>
      </c>
      <c r="AB6" s="6" t="s">
        <v>68</v>
      </c>
      <c r="AC6" s="5" t="s">
        <v>133</v>
      </c>
      <c r="AD6" s="5" t="s">
        <v>539</v>
      </c>
      <c r="AE6" s="5" t="s">
        <v>540</v>
      </c>
      <c r="AF6" s="5" t="s">
        <v>541</v>
      </c>
      <c r="AG6" s="5" t="s">
        <v>542</v>
      </c>
      <c r="AH6" s="5" t="s">
        <v>543</v>
      </c>
    </row>
    <row r="7" customFormat="false" ht="91.5" hidden="false" customHeight="true" outlineLevel="0" collapsed="false">
      <c r="A7" s="5" t="n">
        <v>6</v>
      </c>
      <c r="B7" s="5" t="s">
        <v>544</v>
      </c>
      <c r="C7" s="5" t="s">
        <v>85</v>
      </c>
      <c r="D7" s="5" t="s">
        <v>545</v>
      </c>
      <c r="E7" s="5" t="s">
        <v>546</v>
      </c>
      <c r="F7" s="5" t="s">
        <v>88</v>
      </c>
      <c r="G7" s="5" t="s">
        <v>547</v>
      </c>
      <c r="H7" s="5" t="s">
        <v>548</v>
      </c>
      <c r="I7" s="5" t="s">
        <v>549</v>
      </c>
      <c r="J7" s="5" t="s">
        <v>550</v>
      </c>
      <c r="K7" s="5" t="s">
        <v>64</v>
      </c>
      <c r="L7" s="5" t="s">
        <v>551</v>
      </c>
      <c r="M7" s="5" t="s">
        <v>552</v>
      </c>
      <c r="N7" s="5" t="s">
        <v>553</v>
      </c>
      <c r="O7" s="5" t="s">
        <v>554</v>
      </c>
      <c r="P7" s="5" t="s">
        <v>67</v>
      </c>
      <c r="Q7" s="6"/>
      <c r="R7" s="6" t="s">
        <v>68</v>
      </c>
      <c r="S7" s="6"/>
      <c r="T7" s="6"/>
      <c r="U7" s="6"/>
      <c r="V7" s="6" t="s">
        <v>68</v>
      </c>
      <c r="W7" s="6"/>
      <c r="X7" s="6"/>
      <c r="Y7" s="6"/>
      <c r="Z7" s="6"/>
      <c r="AA7" s="6"/>
      <c r="AB7" s="6" t="s">
        <v>68</v>
      </c>
      <c r="AC7" s="5" t="s">
        <v>555</v>
      </c>
      <c r="AD7" s="5" t="s">
        <v>70</v>
      </c>
      <c r="AE7" s="5" t="s">
        <v>556</v>
      </c>
      <c r="AF7" s="5" t="s">
        <v>557</v>
      </c>
      <c r="AG7" s="5" t="s">
        <v>558</v>
      </c>
      <c r="AH7" s="5" t="s">
        <v>559</v>
      </c>
    </row>
    <row r="8" customFormat="false" ht="91.5" hidden="false" customHeight="true" outlineLevel="0" collapsed="false">
      <c r="A8" s="5" t="n">
        <v>7</v>
      </c>
      <c r="B8" s="5" t="s">
        <v>560</v>
      </c>
      <c r="C8" s="5" t="s">
        <v>157</v>
      </c>
      <c r="D8" s="5" t="s">
        <v>561</v>
      </c>
      <c r="E8" s="5" t="s">
        <v>562</v>
      </c>
      <c r="F8" s="5" t="s">
        <v>88</v>
      </c>
      <c r="G8" s="5" t="s">
        <v>563</v>
      </c>
      <c r="H8" s="5" t="s">
        <v>564</v>
      </c>
      <c r="I8" s="5" t="s">
        <v>565</v>
      </c>
      <c r="J8" s="5" t="s">
        <v>566</v>
      </c>
      <c r="K8" s="5" t="s">
        <v>64</v>
      </c>
      <c r="L8" s="5" t="s">
        <v>567</v>
      </c>
      <c r="M8" s="5" t="s">
        <v>491</v>
      </c>
      <c r="N8" s="5" t="s">
        <v>150</v>
      </c>
      <c r="O8" s="5" t="s">
        <v>64</v>
      </c>
      <c r="P8" s="5" t="s">
        <v>477</v>
      </c>
      <c r="Q8" s="6"/>
      <c r="R8" s="6"/>
      <c r="S8" s="6" t="s">
        <v>68</v>
      </c>
      <c r="T8" s="6"/>
      <c r="U8" s="6"/>
      <c r="V8" s="6"/>
      <c r="W8" s="6" t="s">
        <v>68</v>
      </c>
      <c r="X8" s="6"/>
      <c r="Y8" s="6"/>
      <c r="Z8" s="6"/>
      <c r="AA8" s="6" t="s">
        <v>68</v>
      </c>
      <c r="AB8" s="6"/>
      <c r="AC8" s="5" t="s">
        <v>555</v>
      </c>
      <c r="AD8" s="5" t="s">
        <v>568</v>
      </c>
      <c r="AE8" s="5" t="s">
        <v>436</v>
      </c>
      <c r="AF8" s="5" t="s">
        <v>569</v>
      </c>
      <c r="AG8" s="5" t="s">
        <v>570</v>
      </c>
      <c r="AH8" s="5" t="s">
        <v>571</v>
      </c>
    </row>
    <row r="9" customFormat="false" ht="91.5" hidden="false" customHeight="true" outlineLevel="0" collapsed="false">
      <c r="A9" s="5" t="n">
        <v>8</v>
      </c>
      <c r="B9" s="5" t="s">
        <v>572</v>
      </c>
      <c r="C9" s="5" t="s">
        <v>85</v>
      </c>
      <c r="D9" s="5" t="s">
        <v>573</v>
      </c>
      <c r="E9" s="5" t="s">
        <v>574</v>
      </c>
      <c r="F9" s="5" t="s">
        <v>88</v>
      </c>
      <c r="G9" s="5" t="s">
        <v>575</v>
      </c>
      <c r="H9" s="5" t="s">
        <v>576</v>
      </c>
      <c r="I9" s="5" t="s">
        <v>577</v>
      </c>
      <c r="J9" s="5" t="s">
        <v>578</v>
      </c>
      <c r="K9" s="5" t="s">
        <v>579</v>
      </c>
      <c r="L9" s="5" t="s">
        <v>580</v>
      </c>
      <c r="M9" s="5" t="s">
        <v>581</v>
      </c>
      <c r="N9" s="5" t="s">
        <v>582</v>
      </c>
      <c r="O9" s="5" t="s">
        <v>64</v>
      </c>
      <c r="P9" s="5" t="s">
        <v>114</v>
      </c>
      <c r="Q9" s="6" t="s">
        <v>68</v>
      </c>
      <c r="R9" s="6" t="s">
        <v>68</v>
      </c>
      <c r="S9" s="6"/>
      <c r="T9" s="6"/>
      <c r="U9" s="6"/>
      <c r="V9" s="6"/>
      <c r="W9" s="6" t="s">
        <v>68</v>
      </c>
      <c r="X9" s="6"/>
      <c r="Y9" s="6"/>
      <c r="Z9" s="6" t="s">
        <v>68</v>
      </c>
      <c r="AA9" s="6"/>
      <c r="AB9" s="6"/>
      <c r="AC9" s="5" t="s">
        <v>133</v>
      </c>
      <c r="AD9" s="5" t="s">
        <v>583</v>
      </c>
      <c r="AE9" s="5" t="s">
        <v>584</v>
      </c>
      <c r="AF9" s="5" t="s">
        <v>585</v>
      </c>
      <c r="AG9" s="5" t="s">
        <v>586</v>
      </c>
      <c r="AH9" s="5" t="s">
        <v>587</v>
      </c>
    </row>
  </sheetData>
  <autoFilter ref="A1:AH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9"/>
    <col collapsed="false" customWidth="true" hidden="false" outlineLevel="0" max="7" min="7" style="0" width="46"/>
  </cols>
  <sheetData>
    <row r="1" customFormat="false" ht="15" hidden="false" customHeight="false" outlineLevel="0" collapsed="false">
      <c r="A1" s="9" t="s">
        <v>588</v>
      </c>
    </row>
    <row r="3" customFormat="false" ht="15" hidden="false" customHeight="false" outlineLevel="0" collapsed="false">
      <c r="A3" s="10" t="s">
        <v>589</v>
      </c>
      <c r="B3" s="10" t="s">
        <v>590</v>
      </c>
      <c r="C3" s="10" t="s">
        <v>591</v>
      </c>
      <c r="D3" s="10" t="s">
        <v>592</v>
      </c>
      <c r="E3" s="10" t="s">
        <v>593</v>
      </c>
      <c r="F3" s="10" t="s">
        <v>594</v>
      </c>
      <c r="G3" s="10" t="s">
        <v>595</v>
      </c>
    </row>
    <row r="4" customFormat="false" ht="15" hidden="false" customHeight="false" outlineLevel="0" collapsed="false">
      <c r="A4" s="11" t="s">
        <v>41</v>
      </c>
      <c r="B4" s="11" t="n">
        <f aca="false">COUNTIF(SatAM!Q2:Q10,"X")</f>
        <v>3</v>
      </c>
      <c r="C4" s="11" t="n">
        <f aca="false">COUNTIF(SatPM!Q2:Q11,"X")</f>
        <v>4</v>
      </c>
      <c r="D4" s="11" t="n">
        <f aca="false">COUNTIF(SunAM!Q2:Q10,"X")</f>
        <v>4</v>
      </c>
      <c r="E4" s="11" t="n">
        <f aca="false">COUNTIF(SunPM!Q2:Q9,"X")</f>
        <v>2</v>
      </c>
      <c r="F4" s="11" t="n">
        <f aca="false">SUM(B4:E4)</f>
        <v>13</v>
      </c>
      <c r="G4" s="11" t="s">
        <v>596</v>
      </c>
    </row>
    <row r="5" customFormat="false" ht="15" hidden="false" customHeight="false" outlineLevel="0" collapsed="false">
      <c r="A5" s="11" t="s">
        <v>42</v>
      </c>
      <c r="B5" s="11" t="n">
        <f aca="false">COUNTIF(SatAM!R2:R10,"X")</f>
        <v>4</v>
      </c>
      <c r="C5" s="11" t="n">
        <f aca="false">COUNTIF(SatPM!R2:R11,"X")</f>
        <v>3</v>
      </c>
      <c r="D5" s="11" t="n">
        <f aca="false">COUNTIF(SunAM!R2:R10,"X")</f>
        <v>4</v>
      </c>
      <c r="E5" s="11" t="n">
        <f aca="false">COUNTIF(SunPM!R2:R9,"X")</f>
        <v>4</v>
      </c>
      <c r="F5" s="11" t="n">
        <f aca="false">SUM(B5:E5)</f>
        <v>15</v>
      </c>
      <c r="G5" s="11" t="s">
        <v>597</v>
      </c>
    </row>
    <row r="6" customFormat="false" ht="15" hidden="false" customHeight="false" outlineLevel="0" collapsed="false">
      <c r="A6" s="11" t="s">
        <v>43</v>
      </c>
      <c r="B6" s="11" t="n">
        <f aca="false">COUNTIF(SatAM!S2:S10,"X")</f>
        <v>3</v>
      </c>
      <c r="C6" s="11" t="n">
        <f aca="false">COUNTIF(SatPM!S2:S11,"X")</f>
        <v>5</v>
      </c>
      <c r="D6" s="11" t="n">
        <f aca="false">COUNTIF(SunAM!S2:S10,"X")</f>
        <v>2</v>
      </c>
      <c r="E6" s="11" t="n">
        <f aca="false">COUNTIF(SunPM!S2:S9,"X")</f>
        <v>3</v>
      </c>
      <c r="F6" s="11" t="n">
        <f aca="false">SUM(B6:E6)</f>
        <v>13</v>
      </c>
      <c r="G6" s="11" t="s">
        <v>598</v>
      </c>
    </row>
    <row r="7" customFormat="false" ht="15" hidden="false" customHeight="false" outlineLevel="0" collapsed="false">
      <c r="A7" s="11" t="s">
        <v>44</v>
      </c>
      <c r="B7" s="11" t="n">
        <f aca="false">COUNTIF(SatAM!T2:T10,"X")</f>
        <v>5</v>
      </c>
      <c r="C7" s="11" t="n">
        <f aca="false">COUNTIF(SatPM!T2:T11,"X")</f>
        <v>2</v>
      </c>
      <c r="D7" s="11" t="n">
        <f aca="false">COUNTIF(SunAM!T2:T10,"X")</f>
        <v>3</v>
      </c>
      <c r="E7" s="11" t="n">
        <f aca="false">COUNTIF(SunPM!T2:T9,"X")</f>
        <v>2</v>
      </c>
      <c r="F7" s="11" t="n">
        <f aca="false">SUM(B7:E7)</f>
        <v>12</v>
      </c>
      <c r="G7" s="11" t="s">
        <v>599</v>
      </c>
    </row>
    <row r="8" customFormat="false" ht="15" hidden="false" customHeight="false" outlineLevel="0" collapsed="false">
      <c r="A8" s="11" t="s">
        <v>45</v>
      </c>
      <c r="B8" s="11" t="n">
        <f aca="false">COUNTIF(SatAM!U2:U10,"X")</f>
        <v>1</v>
      </c>
      <c r="C8" s="11" t="n">
        <f aca="false">COUNTIF(SatPM!U2:U11,"X")</f>
        <v>3</v>
      </c>
      <c r="D8" s="11" t="n">
        <f aca="false">COUNTIF(SunAM!U2:U10,"X")</f>
        <v>3</v>
      </c>
      <c r="E8" s="11" t="n">
        <f aca="false">COUNTIF(SunPM!U2:U9,"X")</f>
        <v>2</v>
      </c>
      <c r="F8" s="11" t="n">
        <f aca="false">SUM(B8:E8)</f>
        <v>9</v>
      </c>
      <c r="G8" s="11" t="s">
        <v>600</v>
      </c>
    </row>
    <row r="9" customFormat="false" ht="15" hidden="false" customHeight="false" outlineLevel="0" collapsed="false">
      <c r="A9" s="11" t="s">
        <v>46</v>
      </c>
      <c r="B9" s="11" t="n">
        <f aca="false">COUNTIF(SatAM!V2:V10,"X")</f>
        <v>2</v>
      </c>
      <c r="C9" s="11" t="n">
        <f aca="false">COUNTIF(SatPM!V2:V11,"X")</f>
        <v>3</v>
      </c>
      <c r="D9" s="11" t="n">
        <f aca="false">COUNTIF(SunAM!V2:V10,"X")</f>
        <v>1</v>
      </c>
      <c r="E9" s="11" t="n">
        <f aca="false">COUNTIF(SunPM!V2:V9,"X")</f>
        <v>3</v>
      </c>
      <c r="F9" s="11" t="n">
        <f aca="false">SUM(B9:E9)</f>
        <v>9</v>
      </c>
      <c r="G9" s="11" t="s">
        <v>601</v>
      </c>
    </row>
    <row r="10" customFormat="false" ht="15" hidden="false" customHeight="false" outlineLevel="0" collapsed="false">
      <c r="A10" s="11" t="s">
        <v>47</v>
      </c>
      <c r="B10" s="11" t="n">
        <f aca="false">COUNTIF(SatAM!W2:W10,"X")</f>
        <v>4</v>
      </c>
      <c r="C10" s="11" t="n">
        <f aca="false">COUNTIF(SatPM!W2:W11,"X")</f>
        <v>3</v>
      </c>
      <c r="D10" s="11" t="n">
        <f aca="false">COUNTIF(SunAM!W2:W10,"X")</f>
        <v>3</v>
      </c>
      <c r="E10" s="11" t="n">
        <f aca="false">COUNTIF(SunPM!W2:W9,"X")</f>
        <v>3</v>
      </c>
      <c r="F10" s="11" t="n">
        <f aca="false">SUM(B10:E10)</f>
        <v>13</v>
      </c>
      <c r="G10" s="11" t="s">
        <v>602</v>
      </c>
    </row>
    <row r="11" customFormat="false" ht="15" hidden="false" customHeight="false" outlineLevel="0" collapsed="false">
      <c r="A11" s="11" t="s">
        <v>48</v>
      </c>
      <c r="B11" s="11" t="n">
        <f aca="false">COUNTIF(SatAM!X2:X10,"X")</f>
        <v>3</v>
      </c>
      <c r="C11" s="11" t="n">
        <f aca="false">COUNTIF(SatPM!X2:X11,"X")</f>
        <v>2</v>
      </c>
      <c r="D11" s="11" t="n">
        <f aca="false">COUNTIF(SunAM!X2:X10,"X")</f>
        <v>1</v>
      </c>
      <c r="E11" s="11" t="n">
        <f aca="false">COUNTIF(SunPM!X2:X9,"X")</f>
        <v>1</v>
      </c>
      <c r="F11" s="11" t="n">
        <f aca="false">SUM(B11:E11)</f>
        <v>7</v>
      </c>
      <c r="G11" s="11" t="s">
        <v>603</v>
      </c>
    </row>
    <row r="12" customFormat="false" ht="15" hidden="false" customHeight="false" outlineLevel="0" collapsed="false">
      <c r="A12" s="11" t="s">
        <v>49</v>
      </c>
      <c r="B12" s="11" t="n">
        <f aca="false">COUNTIF(SatAM!Y2:Y10,"X")</f>
        <v>3</v>
      </c>
      <c r="C12" s="11" t="n">
        <f aca="false">COUNTIF(SatPM!Y2:Y11,"X")</f>
        <v>2</v>
      </c>
      <c r="D12" s="11" t="n">
        <f aca="false">COUNTIF(SunAM!Y2:Y10,"X")</f>
        <v>2</v>
      </c>
      <c r="E12" s="11" t="n">
        <f aca="false">COUNTIF(SunPM!Y2:Y9,"X")</f>
        <v>2</v>
      </c>
      <c r="F12" s="11" t="n">
        <f aca="false">SUM(B12:E12)</f>
        <v>9</v>
      </c>
      <c r="G12" s="11" t="s">
        <v>604</v>
      </c>
    </row>
    <row r="13" customFormat="false" ht="15" hidden="false" customHeight="false" outlineLevel="0" collapsed="false">
      <c r="A13" s="11" t="s">
        <v>50</v>
      </c>
      <c r="B13" s="11" t="n">
        <f aca="false">COUNTIF(SatAM!Z2:Z10,"X")</f>
        <v>1</v>
      </c>
      <c r="C13" s="11" t="n">
        <f aca="false">COUNTIF(SatPM!Z2:Z11,"X")</f>
        <v>3</v>
      </c>
      <c r="D13" s="11" t="n">
        <f aca="false">COUNTIF(SunAM!Z2:Z10,"X")</f>
        <v>2</v>
      </c>
      <c r="E13" s="11" t="n">
        <f aca="false">COUNTIF(SunPM!Z2:Z9,"X")</f>
        <v>2</v>
      </c>
      <c r="F13" s="11" t="n">
        <f aca="false">SUM(B13:E13)</f>
        <v>8</v>
      </c>
      <c r="G13" s="11" t="s">
        <v>605</v>
      </c>
    </row>
    <row r="14" customFormat="false" ht="15" hidden="false" customHeight="false" outlineLevel="0" collapsed="false">
      <c r="A14" s="11" t="s">
        <v>51</v>
      </c>
      <c r="B14" s="11" t="n">
        <f aca="false">COUNTIF(SatAM!AA2:AA10,"X")</f>
        <v>4</v>
      </c>
      <c r="C14" s="11" t="n">
        <f aca="false">COUNTIF(SatPM!AA2:AA11,"X")</f>
        <v>2</v>
      </c>
      <c r="D14" s="11" t="n">
        <f aca="false">COUNTIF(SunAM!AA2:AA10,"X")</f>
        <v>6</v>
      </c>
      <c r="E14" s="11" t="n">
        <f aca="false">COUNTIF(SunPM!AA2:AA9,"X")</f>
        <v>4</v>
      </c>
      <c r="F14" s="11" t="n">
        <f aca="false">SUM(B14:E14)</f>
        <v>16</v>
      </c>
      <c r="G14" s="11" t="s">
        <v>606</v>
      </c>
    </row>
    <row r="15" customFormat="false" ht="15" hidden="false" customHeight="false" outlineLevel="0" collapsed="false">
      <c r="A15" s="11" t="s">
        <v>52</v>
      </c>
      <c r="B15" s="11" t="n">
        <f aca="false">COUNTIF(SatAM!AB2:AB10,"X")</f>
        <v>7</v>
      </c>
      <c r="C15" s="11" t="n">
        <f aca="false">COUNTIF(SatPM!AB2:AB11,"X")</f>
        <v>6</v>
      </c>
      <c r="D15" s="11" t="n">
        <f aca="false">COUNTIF(SunAM!AB2:AB10,"X")</f>
        <v>5</v>
      </c>
      <c r="E15" s="11" t="n">
        <f aca="false">COUNTIF(SunPM!AB2:AB9,"X")</f>
        <v>4</v>
      </c>
      <c r="F15" s="11" t="n">
        <f aca="false">SUM(B15:E15)</f>
        <v>22</v>
      </c>
      <c r="G15" s="11" t="s">
        <v>607</v>
      </c>
    </row>
    <row r="17" customFormat="false" ht="15" hidden="false" customHeight="false" outlineLevel="0" collapsed="false">
      <c r="A17" s="12" t="s">
        <v>608</v>
      </c>
      <c r="B17" s="12" t="n">
        <f aca="false">COUNTA(SatAM!B2:B10)</f>
        <v>9</v>
      </c>
      <c r="C17" s="12" t="n">
        <f aca="false">COUNTA(SatPM!B2:B11)</f>
        <v>10</v>
      </c>
      <c r="D17" s="12" t="n">
        <f aca="false">COUNTA(SunAM!B2:B10)</f>
        <v>9</v>
      </c>
      <c r="E17" s="12" t="n">
        <f aca="false">COUNTA(SunPM!B2:B9)</f>
        <v>8</v>
      </c>
      <c r="F17" s="12" t="n">
        <f aca="false">SUM(B17:E17)</f>
        <v>36</v>
      </c>
      <c r="G17" s="12" t="s">
        <v>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2026-08-30T13:07:33Z</dcterms:created>
  <dc:creator>openpyxl</dc:creator>
  <dc:description/>
  <dc:language>en-US</dc:language>
  <cp:lastModifiedBy/>
  <dcterms:modified xsi:type="dcterms:W3CDTF">2026-08-30T13:08:08Z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